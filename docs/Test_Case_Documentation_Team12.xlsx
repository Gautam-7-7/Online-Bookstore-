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  <sheet name="Assumptions - Confirm" sheetId="3" state="visible" r:id="rId5"/>
  </sheets>
  <definedNames>
    <definedName function="false" hidden="true" localSheetId="0" name="_xlnm._FilterDatabase" vbProcedure="false">'Test Cases'!$A$1:$L$85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<sst xmlns="http://schemas.openxmlformats.org/spreadsheetml/2006/main" count="988" uniqueCount="414">
  <si>
    <t xml:space="preserve">TC ID</t>
  </si>
  <si>
    <t xml:space="preserve">SRS Requirement</t>
  </si>
  <si>
    <t xml:space="preserve">Module</t>
  </si>
  <si>
    <t xml:space="preserve">Level</t>
  </si>
  <si>
    <t xml:space="preserve">Type</t>
  </si>
  <si>
    <t xml:space="preserve">Description</t>
  </si>
  <si>
    <t xml:space="preserve">Input / Precondition</t>
  </si>
  <si>
    <t xml:space="preserve">Expected Result</t>
  </si>
  <si>
    <t xml:space="preserve">Actual Result</t>
  </si>
  <si>
    <t xml:space="preserve">Status</t>
  </si>
  <si>
    <t xml:space="preserve">Evidence</t>
  </si>
  <si>
    <t xml:space="preserve">Remarks</t>
  </si>
  <si>
    <t xml:space="preserve">TC-Auth-01.1</t>
  </si>
  <si>
    <t xml:space="preserve">BOOK-F-001</t>
  </si>
  <si>
    <t xml:space="preserve">Authentication</t>
  </si>
  <si>
    <t xml:space="preserve">Integration</t>
  </si>
  <si>
    <t xml:space="preserve">Normal</t>
  </si>
  <si>
    <t xml:space="preserve">Register with valid details</t>
  </si>
  <si>
    <t xml:space="preserve">name=Test User, email=testuser1@example.com, password=Test@1234</t>
  </si>
  <si>
    <t xml:space="preserve">201 Created; user saved in DB; response has no password field</t>
  </si>
  <si>
    <t xml:space="preserve">Not Run</t>
  </si>
  <si>
    <t xml:space="preserve">1a.jpg, 1b.jpg</t>
  </si>
  <si>
    <t xml:space="preserve">authController.unit.test.js</t>
  </si>
  <si>
    <t xml:space="preserve">TC-Auth-01.2</t>
  </si>
  <si>
    <t xml:space="preserve">Invalid</t>
  </si>
  <si>
    <t xml:space="preserve">Register with duplicate email</t>
  </si>
  <si>
    <t xml:space="preserve">Same email as an existing user</t>
  </si>
  <si>
    <t xml:space="preserve">400/409; error message; only 1 user in DB for that email</t>
  </si>
  <si>
    <t xml:space="preserve">TC-Auth-01.3</t>
  </si>
  <si>
    <t xml:space="preserve">Duplicate email with different letter case</t>
  </si>
  <si>
    <t xml:space="preserve">TESTUSER1@example.com when testuser1@example.com exists</t>
  </si>
  <si>
    <t xml:space="preserve">Rejected as duplicate (email compared case-insensitively)</t>
  </si>
  <si>
    <t xml:space="preserve">3.jpg</t>
  </si>
  <si>
    <t xml:space="preserve">Test written; not executed - MongoDB download failed on tester's machine</t>
  </si>
  <si>
    <t xml:space="preserve">TC-Auth-01.4</t>
  </si>
  <si>
    <t xml:space="preserve">Unit</t>
  </si>
  <si>
    <t xml:space="preserve">Weak password rejected</t>
  </si>
  <si>
    <t xml:space="preserve">password=12345, password=password, password=abcdefgh</t>
  </si>
  <si>
    <t xml:space="preserve">400; complexity error message</t>
  </si>
  <si>
    <t xml:space="preserve">TC-Auth-01.5</t>
  </si>
  <si>
    <t xml:space="preserve">Missing required fields</t>
  </si>
  <si>
    <t xml:space="preserve">Request without name / email / password (one at a time)</t>
  </si>
  <si>
    <t xml:space="preserve">400; message names the missing field</t>
  </si>
  <si>
    <t xml:space="preserve">1a.jpg, 1b.jpg, 2.jpg</t>
  </si>
  <si>
    <t xml:space="preserve">authController.unit.test.js; auth.validation.api.test.js</t>
  </si>
  <si>
    <t xml:space="preserve">TC-Auth-01.6</t>
  </si>
  <si>
    <t xml:space="preserve">Invalid email format</t>
  </si>
  <si>
    <t xml:space="preserve">email=abc, abc@, @example.com, a b@example.com</t>
  </si>
  <si>
    <t xml:space="preserve">400; invalid email message</t>
  </si>
  <si>
    <t xml:space="preserve">TC-Auth-01.7</t>
  </si>
  <si>
    <t xml:space="preserve">Boundary</t>
  </si>
  <si>
    <t xml:space="preserve">Password exactly at minimum length (assumed 8, meets complexity)</t>
  </si>
  <si>
    <t xml:space="preserve">password=Ab@12345</t>
  </si>
  <si>
    <t xml:space="preserve">Accepted</t>
  </si>
  <si>
    <t xml:space="preserve">TC-Auth-01.8</t>
  </si>
  <si>
    <t xml:space="preserve">Password one character below minimum</t>
  </si>
  <si>
    <t xml:space="preserve">password=Ab@1234 (7 chars)</t>
  </si>
  <si>
    <t xml:space="preserve">Rejected</t>
  </si>
  <si>
    <t xml:space="preserve">TC-Auth-01.9</t>
  </si>
  <si>
    <t xml:space="preserve">Name at maximum length vs one over (assumed 50)</t>
  </si>
  <si>
    <t xml:space="preserve">name of 50 chars / 51 chars</t>
  </si>
  <si>
    <t xml:space="preserve">50 accepted; 51 rejected</t>
  </si>
  <si>
    <t xml:space="preserve">TC-Auth-01.10</t>
  </si>
  <si>
    <t xml:space="preserve">Whitespace-only name / email / password</t>
  </si>
  <si>
    <t xml:space="preserve">'   '</t>
  </si>
  <si>
    <t xml:space="preserve">400; treated as empty</t>
  </si>
  <si>
    <t xml:space="preserve">TC-Auth-02.1</t>
  </si>
  <si>
    <t xml:space="preserve">BOOK-F-002</t>
  </si>
  <si>
    <t xml:space="preserve">Login with correct credentials</t>
  </si>
  <si>
    <t xml:space="preserve">Registered email + correct password</t>
  </si>
  <si>
    <t xml:space="preserve">200; {token, user}; token is a valid JWT</t>
  </si>
  <si>
    <t xml:space="preserve">TC-Auth-02.2</t>
  </si>
  <si>
    <t xml:space="preserve">Login with wrong password</t>
  </si>
  <si>
    <t xml:space="preserve">Registered email + wrong password</t>
  </si>
  <si>
    <t xml:space="preserve">401 invalid credentials; no token</t>
  </si>
  <si>
    <t xml:space="preserve">TC-Auth-02.3</t>
  </si>
  <si>
    <t xml:space="preserve">Login with unregistered email</t>
  </si>
  <si>
    <t xml:space="preserve">unknown@example.com + any password</t>
  </si>
  <si>
    <t xml:space="preserve">401; same message as wrong password (no user enumeration)</t>
  </si>
  <si>
    <t xml:space="preserve">TC-Auth-02.4</t>
  </si>
  <si>
    <t xml:space="preserve">Login with empty email or password</t>
  </si>
  <si>
    <t xml:space="preserve">email='' / password=''</t>
  </si>
  <si>
    <t xml:space="preserve">400 or 401; no token</t>
  </si>
  <si>
    <t xml:space="preserve">TC-Auth-02.5</t>
  </si>
  <si>
    <t xml:space="preserve">Protected route without token</t>
  </si>
  <si>
    <t xml:space="preserve">GET protected endpoint, no Authorization header</t>
  </si>
  <si>
    <t xml:space="preserve">401</t>
  </si>
  <si>
    <t xml:space="preserve">4.jpg</t>
  </si>
  <si>
    <t xml:space="preserve">Placeholder written (test.todo in pending.test.js); not yet implemented</t>
  </si>
  <si>
    <t xml:space="preserve">TC-Auth-02.6</t>
  </si>
  <si>
    <t xml:space="preserve">Expired JWT</t>
  </si>
  <si>
    <t xml:space="preserve">Token with exp in the past</t>
  </si>
  <si>
    <t xml:space="preserve">TC-Auth-02.7</t>
  </si>
  <si>
    <t xml:space="preserve">Tampered / wrong-secret JWT</t>
  </si>
  <si>
    <t xml:space="preserve">Token signed with a different secret or edited payload</t>
  </si>
  <si>
    <t xml:space="preserve">TC-Auth-02.8</t>
  </si>
  <si>
    <t xml:space="preserve">BOOK-F-023</t>
  </si>
  <si>
    <t xml:space="preserve">Suspended account cannot log in</t>
  </si>
  <si>
    <t xml:space="preserve">Valid credentials of a suspended user</t>
  </si>
  <si>
    <t xml:space="preserve">Login denied (403/401)</t>
  </si>
  <si>
    <t xml:space="preserve">TC-Auth-02.9</t>
  </si>
  <si>
    <t xml:space="preserve">NoSQL injection in login</t>
  </si>
  <si>
    <t xml:space="preserve">email={"$ne":null}, password={"$ne":null}</t>
  </si>
  <si>
    <t xml:space="preserve">400/401; no token issued</t>
  </si>
  <si>
    <t xml:space="preserve">TC-Auth-03.1</t>
  </si>
  <si>
    <t xml:space="preserve">BOOK-F-003</t>
  </si>
  <si>
    <t xml:space="preserve">Request reset for registered email</t>
  </si>
  <si>
    <t xml:space="preserve">Registered email</t>
  </si>
  <si>
    <t xml:space="preserve">200; reset token stored (hashed) with expiry; email service called (mocked)</t>
  </si>
  <si>
    <t xml:space="preserve">TC-Auth-03.2</t>
  </si>
  <si>
    <t xml:space="preserve">Reset password with valid link</t>
  </si>
  <si>
    <t xml:space="preserve">Valid token + new strong password</t>
  </si>
  <si>
    <t xml:space="preserve">200; password updated; old password no longer works</t>
  </si>
  <si>
    <t xml:space="preserve">TC-Auth-03.3</t>
  </si>
  <si>
    <t xml:space="preserve">Link used at 29 minutes</t>
  </si>
  <si>
    <t xml:space="preserve">Token age = 29 min (fake timers)</t>
  </si>
  <si>
    <t xml:space="preserve">TC-Auth-03.4</t>
  </si>
  <si>
    <t xml:space="preserve">Link used at 31 minutes</t>
  </si>
  <si>
    <t xml:space="preserve">Token age = 31 min</t>
  </si>
  <si>
    <t xml:space="preserve">Rejected as expired</t>
  </si>
  <si>
    <t xml:space="preserve">TC-Auth-03.5</t>
  </si>
  <si>
    <t xml:space="preserve">Reuse of a link</t>
  </si>
  <si>
    <t xml:space="preserve">Same token used a second time</t>
  </si>
  <si>
    <t xml:space="preserve">Rejected (single-use)</t>
  </si>
  <si>
    <t xml:space="preserve">TC-Auth-03.6</t>
  </si>
  <si>
    <t xml:space="preserve">Reset for unregistered email</t>
  </si>
  <si>
    <t xml:space="preserve">unknown@example.com</t>
  </si>
  <si>
    <t xml:space="preserve">Generic response; no email sent; no user disclosure</t>
  </si>
  <si>
    <t xml:space="preserve">TC-Auth-03.7</t>
  </si>
  <si>
    <t xml:space="preserve">New password is weak</t>
  </si>
  <si>
    <t xml:space="preserve">Valid token + password=123</t>
  </si>
  <si>
    <t xml:space="preserve">400; password unchanged</t>
  </si>
  <si>
    <t xml:space="preserve">TC-Auth-04.1</t>
  </si>
  <si>
    <t xml:space="preserve">BOOK-F-004</t>
  </si>
  <si>
    <t xml:space="preserve">Edit profile name</t>
  </si>
  <si>
    <t xml:space="preserve">Auth user changes name</t>
  </si>
  <si>
    <t xml:space="preserve">200; new name persists in DB and on re-fetch</t>
  </si>
  <si>
    <t xml:space="preserve">TC-Auth-04.2</t>
  </si>
  <si>
    <t xml:space="preserve">Add multiple shipping addresses and set a default</t>
  </si>
  <si>
    <t xml:space="preserve">2+ addresses, one marked default</t>
  </si>
  <si>
    <t xml:space="preserve">All saved; exactly one default</t>
  </si>
  <si>
    <t xml:space="preserve">TC-Auth-04.3</t>
  </si>
  <si>
    <t xml:space="preserve">Invalid address data</t>
  </si>
  <si>
    <t xml:space="preserve">Empty street / non-numeric or wrong-length PIN code</t>
  </si>
  <si>
    <t xml:space="preserve">400</t>
  </si>
  <si>
    <t xml:space="preserve">TC-Auth-04.4</t>
  </si>
  <si>
    <t xml:space="preserve">Edit profile without token</t>
  </si>
  <si>
    <t xml:space="preserve">No Authorization header</t>
  </si>
  <si>
    <t xml:space="preserve">TC-Auth-04.5</t>
  </si>
  <si>
    <t xml:space="preserve">Edit another user's profile</t>
  </si>
  <si>
    <t xml:space="preserve">User A token, user B id</t>
  </si>
  <si>
    <t xml:space="preserve">403; user B unchanged</t>
  </si>
  <si>
    <t xml:space="preserve">TC-Auth-04.6</t>
  </si>
  <si>
    <t xml:space="preserve">Profile update tries to change role / password hash</t>
  </si>
  <si>
    <t xml:space="preserve">Body includes role=admin</t>
  </si>
  <si>
    <t xml:space="preserve">role ignored/rejected; role unchanged</t>
  </si>
  <si>
    <t xml:space="preserve">TC-Sec-03.1</t>
  </si>
  <si>
    <t xml:space="preserve">BOOK-SR-002</t>
  </si>
  <si>
    <t xml:space="preserve">Password stored only as salted hash</t>
  </si>
  <si>
    <t xml:space="preserve">Register, then read user doc directly from DB</t>
  </si>
  <si>
    <t xml:space="preserve">Stored value is bcrypt/Argon2 hash; not equal to plaintext</t>
  </si>
  <si>
    <t xml:space="preserve">TC-Sec-03.2</t>
  </si>
  <si>
    <t xml:space="preserve">Same password gives different hashes (salt)</t>
  </si>
  <si>
    <t xml:space="preserve">Hash 'Test@1234' twice</t>
  </si>
  <si>
    <t xml:space="preserve">Two different hashes; both verify correctly</t>
  </si>
  <si>
    <t xml:space="preserve">TC-Sec-03.3</t>
  </si>
  <si>
    <t xml:space="preserve">API never returns password hash</t>
  </si>
  <si>
    <t xml:space="preserve">Register / login / get-profile responses</t>
  </si>
  <si>
    <t xml:space="preserve">No password or hash field in any response</t>
  </si>
  <si>
    <t xml:space="preserve">TC-Sec-05.1</t>
  </si>
  <si>
    <t xml:space="preserve">BOOK-SR-004</t>
  </si>
  <si>
    <t xml:space="preserve">4 consecutive failed logins</t>
  </si>
  <si>
    <t xml:space="preserve">4 wrong passwords</t>
  </si>
  <si>
    <t xml:space="preserve">Each 401; account NOT locked; correct password still works</t>
  </si>
  <si>
    <t xml:space="preserve">TC-Sec-05.2</t>
  </si>
  <si>
    <t xml:space="preserve">5th consecutive failed login</t>
  </si>
  <si>
    <t xml:space="preserve">5 wrong passwords</t>
  </si>
  <si>
    <t xml:space="preserve">5th attempt locks account; 423 on next request; audit entry written</t>
  </si>
  <si>
    <t xml:space="preserve">TC-Sec-05.3</t>
  </si>
  <si>
    <t xml:space="preserve">Correct password while locked</t>
  </si>
  <si>
    <t xml:space="preserve">Lock account, then login with correct password</t>
  </si>
  <si>
    <t xml:space="preserve">423 locked</t>
  </si>
  <si>
    <t xml:space="preserve">TC-Sec-05.4</t>
  </si>
  <si>
    <t xml:space="preserve">Unlock timing (14 / 16 minutes)</t>
  </si>
  <si>
    <t xml:space="preserve">Fake timers after lock</t>
  </si>
  <si>
    <t xml:space="preserve">14 min: still 423; 16 min: login works</t>
  </si>
  <si>
    <t xml:space="preserve">TC-Sec-05.5</t>
  </si>
  <si>
    <t xml:space="preserve">Failed counter resets after success</t>
  </si>
  <si>
    <t xml:space="preserve">3 failures, 1 success, 3 failures</t>
  </si>
  <si>
    <t xml:space="preserve">Not locked (counter reset)</t>
  </si>
  <si>
    <t xml:space="preserve">TC-Sec-06.1</t>
  </si>
  <si>
    <t xml:space="preserve">BOOK-SR-005</t>
  </si>
  <si>
    <t xml:space="preserve">XSS payload in name field</t>
  </si>
  <si>
    <t xml:space="preserve">name=&lt;script&gt;alert(1)&lt;/script&gt;</t>
  </si>
  <si>
    <t xml:space="preserve">Rejected or sanitised before storing</t>
  </si>
  <si>
    <t xml:space="preserve">TC-Cat-01.1</t>
  </si>
  <si>
    <t xml:space="preserve">BOOK-F-005</t>
  </si>
  <si>
    <t xml:space="preserve">Catalog &amp; Search</t>
  </si>
  <si>
    <t xml:space="preserve">Guest browses category</t>
  </si>
  <si>
    <t xml:space="preserve">GET category=Fiction, no token</t>
  </si>
  <si>
    <t xml:space="preserve">200; only active listings in Fiction</t>
  </si>
  <si>
    <t xml:space="preserve">TC-Cat-01.2</t>
  </si>
  <si>
    <t xml:space="preserve">Category with no books / unknown category</t>
  </si>
  <si>
    <t xml:space="preserve">category=Empty / category=zzz</t>
  </si>
  <si>
    <t xml:space="preserve">200 with empty list (or 404); no error crash</t>
  </si>
  <si>
    <t xml:space="preserve">TC-Cat-01.3</t>
  </si>
  <si>
    <t xml:space="preserve">Deactivated listing in category</t>
  </si>
  <si>
    <t xml:space="preserve">Remove a listing, browse its category</t>
  </si>
  <si>
    <t xml:space="preserve">Removed listing not shown</t>
  </si>
  <si>
    <t xml:space="preserve">TC-Cat-02.1</t>
  </si>
  <si>
    <t xml:space="preserve">BOOK-F-006</t>
  </si>
  <si>
    <t xml:space="preserve">Search by title</t>
  </si>
  <si>
    <t xml:space="preserve">Known title (full and partial)</t>
  </si>
  <si>
    <t xml:space="preserve">Book appears in top results</t>
  </si>
  <si>
    <t xml:space="preserve">TC-Cat-02.2</t>
  </si>
  <si>
    <t xml:space="preserve">Search by author and by ISBN</t>
  </si>
  <si>
    <t xml:space="preserve">Known author; known ISBN</t>
  </si>
  <si>
    <t xml:space="preserve">Matching book(s) returned</t>
  </si>
  <si>
    <t xml:space="preserve">TC-Cat-02.3</t>
  </si>
  <si>
    <t xml:space="preserve">Search with no match</t>
  </si>
  <si>
    <t xml:space="preserve">keyword=zzzzqqq</t>
  </si>
  <si>
    <t xml:space="preserve">200; empty list; message</t>
  </si>
  <si>
    <t xml:space="preserve">TC-Cat-02.4</t>
  </si>
  <si>
    <t xml:space="preserve">Empty keyword</t>
  </si>
  <si>
    <t xml:space="preserve">keyword=''</t>
  </si>
  <si>
    <t xml:space="preserve">Returns all (paginated) or 400, as designed; no crash</t>
  </si>
  <si>
    <t xml:space="preserve">TC-Cat-02.5</t>
  </si>
  <si>
    <t xml:space="preserve">Special characters / regex / NoSQL operators</t>
  </si>
  <si>
    <t xml:space="preserve">keyword=.*, (, {"$ne":null}</t>
  </si>
  <si>
    <t xml:space="preserve">No crash, no unintended results, no injection</t>
  </si>
  <si>
    <t xml:space="preserve">TC-Cat-02.6</t>
  </si>
  <si>
    <t xml:space="preserve">Pagination first page and page size</t>
  </si>
  <si>
    <t xml:space="preserve">page=1, limit=10 with 25 books</t>
  </si>
  <si>
    <t xml:space="preserve">10 results; total=25</t>
  </si>
  <si>
    <t xml:space="preserve">TC-Cat-02.7</t>
  </si>
  <si>
    <t xml:space="preserve">Pagination last page</t>
  </si>
  <si>
    <t xml:space="preserve">page=3, limit=10 with 25 books</t>
  </si>
  <si>
    <t xml:space="preserve">5 results</t>
  </si>
  <si>
    <t xml:space="preserve">TC-Cat-02.8</t>
  </si>
  <si>
    <t xml:space="preserve">Page beyond last / page=0 / negative / non-numeric</t>
  </si>
  <si>
    <t xml:space="preserve">page=99, 0, -1, abc</t>
  </si>
  <si>
    <t xml:space="preserve">Empty list or 400; no crash</t>
  </si>
  <si>
    <t xml:space="preserve">TC-Cat-02.9</t>
  </si>
  <si>
    <t xml:space="preserve">Search response time</t>
  </si>
  <si>
    <t xml:space="preserve">Search known title on seeded data</t>
  </si>
  <si>
    <t xml:space="preserve">Response &lt; 2 s</t>
  </si>
  <si>
    <t xml:space="preserve">TC-Cat-03.1</t>
  </si>
  <si>
    <t xml:space="preserve">BOOK-F-007</t>
  </si>
  <si>
    <t xml:space="preserve">View active listing detail</t>
  </si>
  <si>
    <t xml:space="preserve">Valid listing id</t>
  </si>
  <si>
    <t xml:space="preserve">200; price, condition, seller, stock, description all present</t>
  </si>
  <si>
    <t xml:space="preserve">TC-Cat-03.2</t>
  </si>
  <si>
    <t xml:space="preserve">Non-existent listing id</t>
  </si>
  <si>
    <t xml:space="preserve">Valid-format id not in DB</t>
  </si>
  <si>
    <t xml:space="preserve">404</t>
  </si>
  <si>
    <t xml:space="preserve">TC-Cat-03.3</t>
  </si>
  <si>
    <t xml:space="preserve">Malformed listing id</t>
  </si>
  <si>
    <t xml:space="preserve">id=abc123</t>
  </si>
  <si>
    <t xml:space="preserve">400/404; no server crash (500)</t>
  </si>
  <si>
    <t xml:space="preserve">TC-Cat-03.4</t>
  </si>
  <si>
    <t xml:space="preserve">Detail of deactivated listing</t>
  </si>
  <si>
    <t xml:space="preserve">Id of removed listing</t>
  </si>
  <si>
    <t xml:space="preserve">404 / not available</t>
  </si>
  <si>
    <t xml:space="preserve">TC-Cat-04.1</t>
  </si>
  <si>
    <t xml:space="preserve">BOOK-F-008</t>
  </si>
  <si>
    <t xml:space="preserve">Sort by price ascending</t>
  </si>
  <si>
    <t xml:space="preserve">sort=price_asc</t>
  </si>
  <si>
    <t xml:space="preserve">Results in non-decreasing price order</t>
  </si>
  <si>
    <t xml:space="preserve">TC-Cat-04.2</t>
  </si>
  <si>
    <t xml:space="preserve">Sort by price descending</t>
  </si>
  <si>
    <t xml:space="preserve">sort=price_desc</t>
  </si>
  <si>
    <t xml:space="preserve">Results in non-increasing price order</t>
  </si>
  <si>
    <t xml:space="preserve">TC-Cat-04.3</t>
  </si>
  <si>
    <t xml:space="preserve">Filter by availability (in stock)</t>
  </si>
  <si>
    <t xml:space="preserve">inStock=true</t>
  </si>
  <si>
    <t xml:space="preserve">Only stock &gt; 0 listings</t>
  </si>
  <si>
    <t xml:space="preserve">TC-Cat-04.4</t>
  </si>
  <si>
    <t xml:space="preserve">Price range filter edges</t>
  </si>
  <si>
    <t xml:space="preserve">min=100, max=100 (exact match); min &gt; max</t>
  </si>
  <si>
    <t xml:space="preserve">Exact price included; min&gt;max gives 400 or empty</t>
  </si>
  <si>
    <t xml:space="preserve">TC-Cat-04.5</t>
  </si>
  <si>
    <t xml:space="preserve">Invalid sort value</t>
  </si>
  <si>
    <t xml:space="preserve">sort=banana</t>
  </si>
  <si>
    <t xml:space="preserve">400 or default order; no crash</t>
  </si>
  <si>
    <t xml:space="preserve">TC-List-01.1</t>
  </si>
  <si>
    <t xml:space="preserve">BOOK-F-009</t>
  </si>
  <si>
    <t xml:space="preserve">Listing</t>
  </si>
  <si>
    <t xml:space="preserve">Verified seller creates valid listing</t>
  </si>
  <si>
    <t xml:space="preserve">title, author, isbn=9780306406157, price=250, condition=Used, stock=5</t>
  </si>
  <si>
    <t xml:space="preserve">201 {listingId, status}; saved in DB; in seller's active listings</t>
  </si>
  <si>
    <t xml:space="preserve">TC-List-01.2</t>
  </si>
  <si>
    <t xml:space="preserve">Valid ISBN-10 and ISBN-13 both accepted</t>
  </si>
  <si>
    <t xml:space="preserve">0306406152 and 9780306406157</t>
  </si>
  <si>
    <t xml:space="preserve">Both pass validation</t>
  </si>
  <si>
    <t xml:space="preserve">TC-List-01.3</t>
  </si>
  <si>
    <t xml:space="preserve">Invalid ISBN</t>
  </si>
  <si>
    <t xml:space="preserve">isbn=123, abcdefghij, wrong checksum</t>
  </si>
  <si>
    <t xml:space="preserve">400 validation error</t>
  </si>
  <si>
    <t xml:space="preserve">TC-List-01.4</t>
  </si>
  <si>
    <t xml:space="preserve">Missing mandatory field</t>
  </si>
  <si>
    <t xml:space="preserve">Omit title / author / isbn / price (one at a time)</t>
  </si>
  <si>
    <t xml:space="preserve">400; field named in message</t>
  </si>
  <si>
    <t xml:space="preserve">TC-List-01.5</t>
  </si>
  <si>
    <t xml:space="preserve">Price boundary values</t>
  </si>
  <si>
    <t xml:space="preserve">price=0, 0.01, -1</t>
  </si>
  <si>
    <t xml:space="preserve">0 and -1 rejected (assumed rule); 0.01 accepted</t>
  </si>
  <si>
    <t xml:space="preserve">TC-List-01.6</t>
  </si>
  <si>
    <t xml:space="preserve">Wrong data type</t>
  </si>
  <si>
    <t xml:space="preserve">price='abc', stock='five'</t>
  </si>
  <si>
    <t xml:space="preserve">TC-List-01.7</t>
  </si>
  <si>
    <t xml:space="preserve">Stock boundary values</t>
  </si>
  <si>
    <t xml:space="preserve">stock=0, 1, -1, 2.5</t>
  </si>
  <si>
    <t xml:space="preserve">-1 and 2.5 rejected; 0 and 1 accepted</t>
  </si>
  <si>
    <t xml:space="preserve">TC-List-01.8</t>
  </si>
  <si>
    <t xml:space="preserve">Title max length vs one over (assumed 200)</t>
  </si>
  <si>
    <t xml:space="preserve">Title of 200 / 201 chars</t>
  </si>
  <si>
    <t xml:space="preserve">200 accepted; 201 rejected</t>
  </si>
  <si>
    <t xml:space="preserve">TC-List-01.9</t>
  </si>
  <si>
    <t xml:space="preserve">Create listing without token</t>
  </si>
  <si>
    <t xml:space="preserve">TC-List-01.10</t>
  </si>
  <si>
    <t xml:space="preserve">Buyer account tries to create listing</t>
  </si>
  <si>
    <t xml:space="preserve">Valid buyer token</t>
  </si>
  <si>
    <t xml:space="preserve">403</t>
  </si>
  <si>
    <t xml:space="preserve">TC-List-01.11</t>
  </si>
  <si>
    <t xml:space="preserve">Unverified seller tries to create listing</t>
  </si>
  <si>
    <t xml:space="preserve">Seller with verified=false</t>
  </si>
  <si>
    <t xml:space="preserve">TC-List-02.1</t>
  </si>
  <si>
    <t xml:space="preserve">BOOK-F-010</t>
  </si>
  <si>
    <t xml:space="preserve">Seller edits own listing</t>
  </si>
  <si>
    <t xml:space="preserve">Change price, condition, stock, description</t>
  </si>
  <si>
    <t xml:space="preserve">200; changes persist in DB and show in catalog immediately</t>
  </si>
  <si>
    <t xml:space="preserve">TC-List-02.2</t>
  </si>
  <si>
    <t xml:space="preserve">Edit another seller's listing</t>
  </si>
  <si>
    <t xml:space="preserve">Seller B edits Seller A listing</t>
  </si>
  <si>
    <t xml:space="preserve">403; listing unchanged</t>
  </si>
  <si>
    <t xml:space="preserve">TC-List-02.3</t>
  </si>
  <si>
    <t xml:space="preserve">Edit non-existent listing</t>
  </si>
  <si>
    <t xml:space="preserve">Unknown id</t>
  </si>
  <si>
    <t xml:space="preserve">TC-List-02.4</t>
  </si>
  <si>
    <t xml:space="preserve">Edit with invalid values</t>
  </si>
  <si>
    <t xml:space="preserve">price=-5</t>
  </si>
  <si>
    <t xml:space="preserve">400; listing unchanged</t>
  </si>
  <si>
    <t xml:space="preserve">TC-List-03.1</t>
  </si>
  <si>
    <t xml:space="preserve">BOOK-F-011</t>
  </si>
  <si>
    <t xml:space="preserve">Seller removes (deactivates) own listing</t>
  </si>
  <si>
    <t xml:space="preserve">DELETE own listing</t>
  </si>
  <si>
    <t xml:space="preserve">200; status=inactive; absent from catalog and search</t>
  </si>
  <si>
    <t xml:space="preserve">TC-List-03.2</t>
  </si>
  <si>
    <t xml:space="preserve">Duplicate ISBN is flagged</t>
  </si>
  <si>
    <t xml:space="preserve">Create listing with an ISBN already listed</t>
  </si>
  <si>
    <t xml:space="preserve">Listing created and moderation flag raised</t>
  </si>
  <si>
    <t xml:space="preserve">TC-List-03.3</t>
  </si>
  <si>
    <t xml:space="preserve">Remove another seller's listing</t>
  </si>
  <si>
    <t xml:space="preserve">Seller B deletes Seller A listing</t>
  </si>
  <si>
    <t xml:space="preserve">403; listing still active</t>
  </si>
  <si>
    <t xml:space="preserve">TC-List-03.4</t>
  </si>
  <si>
    <t xml:space="preserve">Remove already-removed listing</t>
  </si>
  <si>
    <t xml:space="preserve">DELETE twice</t>
  </si>
  <si>
    <t xml:space="preserve">Second call 404 or idempotent 200; no crash</t>
  </si>
  <si>
    <t xml:space="preserve">TC-Int-01</t>
  </si>
  <si>
    <t xml:space="preserve">F-001/002/009/007/011</t>
  </si>
  <si>
    <t xml:space="preserve">Full flow: register -&gt; login -&gt; create listing -&gt; view -&gt; delete</t>
  </si>
  <si>
    <t xml:space="preserve">Run the steps in order using the real API and test DB</t>
  </si>
  <si>
    <t xml:space="preserve">Each step succeeds; DB state checked after every step; listing gone from catalog at the end</t>
  </si>
  <si>
    <t xml:space="preserve">TC-Int-02</t>
  </si>
  <si>
    <t xml:space="preserve">F-001/002</t>
  </si>
  <si>
    <t xml:space="preserve">API -&gt; DB write check</t>
  </si>
  <si>
    <t xml:space="preserve">Register via API, then query DB directly</t>
  </si>
  <si>
    <t xml:space="preserve">Exactly one matching document with expected fields</t>
  </si>
  <si>
    <t xml:space="preserve">TC-Int-03</t>
  </si>
  <si>
    <t xml:space="preserve">F-009/010/011</t>
  </si>
  <si>
    <t xml:space="preserve">Tests are isolated</t>
  </si>
  <si>
    <t xml:space="preserve">Run suite twice; DB cleared between tests</t>
  </si>
  <si>
    <t xml:space="preserve">Same results both runs (no leftover data)</t>
  </si>
  <si>
    <t xml:space="preserve">Test Execution Summary - Online Bookstore (Team 12)</t>
  </si>
  <si>
    <t xml:space="preserve">Tester: D Sai Karthik (PES2UG24CS141) | Branch: feature/testing | Update the Status column on 'Test Cases'; this sheet recalculates.</t>
  </si>
  <si>
    <t xml:space="preserve">Total</t>
  </si>
  <si>
    <t xml:space="preserve">Pass</t>
  </si>
  <si>
    <t xml:space="preserve">Fail</t>
  </si>
  <si>
    <t xml:space="preserve">Blocked</t>
  </si>
  <si>
    <t xml:space="preserve">Pass %</t>
  </si>
  <si>
    <t xml:space="preserve">TOTAL</t>
  </si>
  <si>
    <t xml:space="preserve">By test type</t>
  </si>
  <si>
    <t xml:space="preserve">#</t>
  </si>
  <si>
    <t xml:space="preserve">Assumption used in test cases</t>
  </si>
  <si>
    <t xml:space="preserve">Source / Reason</t>
  </si>
  <si>
    <t xml:space="preserve">Confirm with team (update expected result if different)</t>
  </si>
  <si>
    <t xml:space="preserve">Password minimum length = 8 with upper, lower, digit, special character</t>
  </si>
  <si>
    <t xml:space="preserve">SRS says 'complexity rules' but never defines them</t>
  </si>
  <si>
    <t xml:space="preserve">Backend owner (auth)</t>
  </si>
  <si>
    <t xml:space="preserve">Name max length = 50; title max length = 200</t>
  </si>
  <si>
    <t xml:space="preserve">Not stated in SRS/SAD; typical defaults</t>
  </si>
  <si>
    <t xml:space="preserve">Backend owner</t>
  </si>
  <si>
    <t xml:space="preserve">Price must be &gt; 0; stock must be a non-negative integer</t>
  </si>
  <si>
    <t xml:space="preserve">Reasonable business rule, not stated</t>
  </si>
  <si>
    <t xml:space="preserve">Listing owner</t>
  </si>
  <si>
    <t xml:space="preserve">Duplicate email returns 400 or 409</t>
  </si>
  <si>
    <t xml:space="preserve">SAD does not specify the code</t>
  </si>
  <si>
    <t xml:space="preserve">Register, reset-password, search, browse, edit/delete listing and profile routes follow REST naming</t>
  </si>
  <si>
    <t xml:space="preserve">SAD lists only login, create listing, create order, order status</t>
  </si>
  <si>
    <t xml:space="preserve">Get real route list / Swagger file</t>
  </si>
  <si>
    <t xml:space="preserve">Default page size = 10; page query params are page and limit</t>
  </si>
  <si>
    <t xml:space="preserve">Not stated</t>
  </si>
  <si>
    <t xml:space="preserve">Catalog owner</t>
  </si>
  <si>
    <t xml:space="preserve">Accounts must verify email before login (SRS F-001 comment 'Email verification required')</t>
  </si>
  <si>
    <t xml:space="preserve">No flow described</t>
  </si>
  <si>
    <t xml:space="preserve">Auth owner - if yes, add unverified-login test</t>
  </si>
  <si>
    <t xml:space="preserve">Reset token valid 30 minutes and single-use</t>
  </si>
  <si>
    <t xml:space="preserve">SRS AC-003 (confirmed)</t>
  </si>
  <si>
    <t xml:space="preserve">-</t>
  </si>
  <si>
    <t xml:space="preserve">Lockout: 5 consecutive failures = 15 min lock, HTTP 423</t>
  </si>
  <si>
    <t xml:space="preserve">SRS SR-004 and SAD API table (confirmed)</t>
  </si>
  <si>
    <t xml:space="preserve">Test emails/data are dummy only (e.g. testuser1@example.com)</t>
  </si>
  <si>
    <t xml:space="preserve">STP section 11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</si>
</sst>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55A11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"/>
    <col collapsed="false" customWidth="true" hidden="false" outlineLevel="0" max="3" min="2" style="1" width="17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38"/>
    <col collapsed="false" customWidth="true" hidden="false" outlineLevel="0" max="7" min="7" style="1" width="40"/>
    <col collapsed="false" customWidth="true" hidden="false" outlineLevel="0" max="8" min="8" style="1" width="42"/>
    <col collapsed="false" customWidth="true" hidden="false" outlineLevel="0" max="9" min="9" style="1" width="28"/>
    <col collapsed="false" customWidth="true" hidden="false" outlineLevel="0" max="10" min="10" style="1" width="11"/>
    <col collapsed="false" customWidth="true" hidden="false" outlineLevel="0" max="11" min="11" style="1" width="16"/>
    <col collapsed="false" customWidth="true" hidden="false" outlineLevel="0" max="12" min="12" style="1" width="22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34.5" hidden="false" customHeight="tru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23.25" hidden="false" customHeight="true" outlineLevel="0" collapsed="false">
      <c r="A3" s="3" t="s">
        <v>23</v>
      </c>
      <c r="B3" s="3" t="s">
        <v>13</v>
      </c>
      <c r="C3" s="3" t="s">
        <v>14</v>
      </c>
      <c r="D3" s="3" t="s">
        <v>15</v>
      </c>
      <c r="E3" s="3" t="s">
        <v>24</v>
      </c>
      <c r="F3" s="3" t="s">
        <v>25</v>
      </c>
      <c r="G3" s="3" t="s">
        <v>26</v>
      </c>
      <c r="H3" s="3" t="s">
        <v>27</v>
      </c>
      <c r="I3" s="3"/>
      <c r="J3" s="3" t="s">
        <v>20</v>
      </c>
      <c r="K3" s="3" t="s">
        <v>21</v>
      </c>
      <c r="L3" s="3" t="s">
        <v>22</v>
      </c>
    </row>
    <row r="4" customFormat="false" ht="23.25" hidden="false" customHeight="true" outlineLevel="0" collapsed="false">
      <c r="A4" s="3" t="s">
        <v>28</v>
      </c>
      <c r="B4" s="3" t="s">
        <v>13</v>
      </c>
      <c r="C4" s="3" t="s">
        <v>14</v>
      </c>
      <c r="D4" s="3" t="s">
        <v>15</v>
      </c>
      <c r="E4" s="3" t="s">
        <v>24</v>
      </c>
      <c r="F4" s="3" t="s">
        <v>29</v>
      </c>
      <c r="G4" s="3" t="s">
        <v>30</v>
      </c>
      <c r="H4" s="3" t="s">
        <v>31</v>
      </c>
      <c r="I4" s="3"/>
      <c r="J4" s="3" t="s">
        <v>20</v>
      </c>
      <c r="K4" s="3" t="s">
        <v>32</v>
      </c>
      <c r="L4" s="3" t="s">
        <v>33</v>
      </c>
    </row>
    <row r="5" customFormat="false" ht="23.25" hidden="false" customHeight="true" outlineLevel="0" collapsed="false">
      <c r="A5" s="3" t="s">
        <v>34</v>
      </c>
      <c r="B5" s="3" t="s">
        <v>13</v>
      </c>
      <c r="C5" s="3" t="s">
        <v>14</v>
      </c>
      <c r="D5" s="3" t="s">
        <v>35</v>
      </c>
      <c r="E5" s="3" t="s">
        <v>24</v>
      </c>
      <c r="F5" s="3" t="s">
        <v>36</v>
      </c>
      <c r="G5" s="3" t="s">
        <v>37</v>
      </c>
      <c r="H5" s="3" t="s">
        <v>38</v>
      </c>
      <c r="I5" s="3"/>
      <c r="J5" s="3" t="s">
        <v>20</v>
      </c>
      <c r="K5" s="3" t="s">
        <v>21</v>
      </c>
      <c r="L5" s="3" t="s">
        <v>22</v>
      </c>
    </row>
    <row r="6" customFormat="false" ht="23.25" hidden="false" customHeight="true" outlineLevel="0" collapsed="false">
      <c r="A6" s="3" t="s">
        <v>39</v>
      </c>
      <c r="B6" s="3" t="s">
        <v>13</v>
      </c>
      <c r="C6" s="3" t="s">
        <v>14</v>
      </c>
      <c r="D6" s="3" t="s">
        <v>35</v>
      </c>
      <c r="E6" s="3" t="s">
        <v>24</v>
      </c>
      <c r="F6" s="3" t="s">
        <v>40</v>
      </c>
      <c r="G6" s="3" t="s">
        <v>41</v>
      </c>
      <c r="H6" s="3" t="s">
        <v>42</v>
      </c>
      <c r="I6" s="3"/>
      <c r="J6" s="3" t="s">
        <v>20</v>
      </c>
      <c r="K6" s="3" t="s">
        <v>43</v>
      </c>
      <c r="L6" s="3" t="s">
        <v>44</v>
      </c>
    </row>
    <row r="7" customFormat="false" ht="23.25" hidden="false" customHeight="true" outlineLevel="0" collapsed="false">
      <c r="A7" s="3" t="s">
        <v>45</v>
      </c>
      <c r="B7" s="3" t="s">
        <v>13</v>
      </c>
      <c r="C7" s="3" t="s">
        <v>14</v>
      </c>
      <c r="D7" s="3" t="s">
        <v>35</v>
      </c>
      <c r="E7" s="3" t="s">
        <v>24</v>
      </c>
      <c r="F7" s="3" t="s">
        <v>46</v>
      </c>
      <c r="G7" s="3" t="s">
        <v>47</v>
      </c>
      <c r="H7" s="3" t="s">
        <v>48</v>
      </c>
      <c r="I7" s="3"/>
      <c r="J7" s="3" t="s">
        <v>20</v>
      </c>
      <c r="K7" s="3" t="s">
        <v>21</v>
      </c>
      <c r="L7" s="3" t="s">
        <v>22</v>
      </c>
    </row>
    <row r="8" customFormat="false" ht="23.25" hidden="false" customHeight="true" outlineLevel="0" collapsed="false">
      <c r="A8" s="3" t="s">
        <v>49</v>
      </c>
      <c r="B8" s="3" t="s">
        <v>13</v>
      </c>
      <c r="C8" s="3" t="s">
        <v>14</v>
      </c>
      <c r="D8" s="3" t="s">
        <v>35</v>
      </c>
      <c r="E8" s="3" t="s">
        <v>50</v>
      </c>
      <c r="F8" s="3" t="s">
        <v>51</v>
      </c>
      <c r="G8" s="3" t="s">
        <v>52</v>
      </c>
      <c r="H8" s="3" t="s">
        <v>53</v>
      </c>
      <c r="I8" s="3"/>
      <c r="J8" s="3" t="s">
        <v>20</v>
      </c>
      <c r="K8" s="3" t="s">
        <v>21</v>
      </c>
      <c r="L8" s="3" t="s">
        <v>22</v>
      </c>
    </row>
    <row r="9" customFormat="false" ht="15" hidden="false" customHeight="true" outlineLevel="0" collapsed="false">
      <c r="A9" s="3" t="s">
        <v>54</v>
      </c>
      <c r="B9" s="3" t="s">
        <v>13</v>
      </c>
      <c r="C9" s="3" t="s">
        <v>14</v>
      </c>
      <c r="D9" s="3" t="s">
        <v>35</v>
      </c>
      <c r="E9" s="3" t="s">
        <v>50</v>
      </c>
      <c r="F9" s="3" t="s">
        <v>55</v>
      </c>
      <c r="G9" s="3" t="s">
        <v>56</v>
      </c>
      <c r="H9" s="3" t="s">
        <v>57</v>
      </c>
      <c r="I9" s="3"/>
      <c r="J9" s="3" t="s">
        <v>20</v>
      </c>
      <c r="K9" s="3" t="s">
        <v>21</v>
      </c>
      <c r="L9" s="3" t="s">
        <v>22</v>
      </c>
    </row>
    <row r="10" customFormat="false" ht="23.25" hidden="false" customHeight="true" outlineLevel="0" collapsed="false">
      <c r="A10" s="3" t="s">
        <v>58</v>
      </c>
      <c r="B10" s="3" t="s">
        <v>13</v>
      </c>
      <c r="C10" s="3" t="s">
        <v>14</v>
      </c>
      <c r="D10" s="3" t="s">
        <v>35</v>
      </c>
      <c r="E10" s="3" t="s">
        <v>50</v>
      </c>
      <c r="F10" s="3" t="s">
        <v>59</v>
      </c>
      <c r="G10" s="3" t="s">
        <v>60</v>
      </c>
      <c r="H10" s="3" t="s">
        <v>61</v>
      </c>
      <c r="I10" s="3"/>
      <c r="J10" s="3" t="s">
        <v>20</v>
      </c>
      <c r="K10" s="3" t="s">
        <v>21</v>
      </c>
      <c r="L10" s="3" t="s">
        <v>22</v>
      </c>
    </row>
    <row r="11" customFormat="false" ht="15" hidden="false" customHeight="true" outlineLevel="0" collapsed="false">
      <c r="A11" s="3" t="s">
        <v>62</v>
      </c>
      <c r="B11" s="3" t="s">
        <v>13</v>
      </c>
      <c r="C11" s="3" t="s">
        <v>14</v>
      </c>
      <c r="D11" s="3" t="s">
        <v>35</v>
      </c>
      <c r="E11" s="3" t="s">
        <v>24</v>
      </c>
      <c r="F11" s="3" t="s">
        <v>63</v>
      </c>
      <c r="G11" s="3" t="s">
        <v>64</v>
      </c>
      <c r="H11" s="3" t="s">
        <v>65</v>
      </c>
      <c r="I11" s="3"/>
      <c r="J11" s="3" t="s">
        <v>20</v>
      </c>
      <c r="K11" s="3" t="s">
        <v>21</v>
      </c>
      <c r="L11" s="3" t="s">
        <v>22</v>
      </c>
    </row>
    <row r="12" customFormat="false" ht="15" hidden="false" customHeight="true" outlineLevel="0" collapsed="false">
      <c r="A12" s="3" t="s">
        <v>66</v>
      </c>
      <c r="B12" s="3" t="s">
        <v>67</v>
      </c>
      <c r="C12" s="3" t="s">
        <v>14</v>
      </c>
      <c r="D12" s="3" t="s">
        <v>15</v>
      </c>
      <c r="E12" s="3" t="s">
        <v>16</v>
      </c>
      <c r="F12" s="3" t="s">
        <v>68</v>
      </c>
      <c r="G12" s="3" t="s">
        <v>69</v>
      </c>
      <c r="H12" s="3" t="s">
        <v>70</v>
      </c>
      <c r="I12" s="3"/>
      <c r="J12" s="3" t="s">
        <v>20</v>
      </c>
      <c r="K12" s="3" t="s">
        <v>21</v>
      </c>
      <c r="L12" s="3" t="s">
        <v>22</v>
      </c>
    </row>
    <row r="13" customFormat="false" ht="15" hidden="false" customHeight="true" outlineLevel="0" collapsed="false">
      <c r="A13" s="3" t="s">
        <v>71</v>
      </c>
      <c r="B13" s="3" t="s">
        <v>67</v>
      </c>
      <c r="C13" s="3" t="s">
        <v>14</v>
      </c>
      <c r="D13" s="3" t="s">
        <v>15</v>
      </c>
      <c r="E13" s="3" t="s">
        <v>24</v>
      </c>
      <c r="F13" s="3" t="s">
        <v>72</v>
      </c>
      <c r="G13" s="3" t="s">
        <v>73</v>
      </c>
      <c r="H13" s="3" t="s">
        <v>74</v>
      </c>
      <c r="I13" s="3"/>
      <c r="J13" s="3" t="s">
        <v>20</v>
      </c>
      <c r="K13" s="3" t="s">
        <v>21</v>
      </c>
      <c r="L13" s="3" t="s">
        <v>22</v>
      </c>
    </row>
    <row r="14" customFormat="false" ht="23.25" hidden="false" customHeight="true" outlineLevel="0" collapsed="false">
      <c r="A14" s="3" t="s">
        <v>75</v>
      </c>
      <c r="B14" s="3" t="s">
        <v>67</v>
      </c>
      <c r="C14" s="3" t="s">
        <v>14</v>
      </c>
      <c r="D14" s="3" t="s">
        <v>15</v>
      </c>
      <c r="E14" s="3" t="s">
        <v>24</v>
      </c>
      <c r="F14" s="3" t="s">
        <v>76</v>
      </c>
      <c r="G14" s="3" t="s">
        <v>77</v>
      </c>
      <c r="H14" s="3" t="s">
        <v>78</v>
      </c>
      <c r="I14" s="3"/>
      <c r="J14" s="3" t="s">
        <v>20</v>
      </c>
      <c r="K14" s="3" t="s">
        <v>21</v>
      </c>
      <c r="L14" s="3" t="s">
        <v>22</v>
      </c>
    </row>
    <row r="15" customFormat="false" ht="15" hidden="false" customHeight="true" outlineLevel="0" collapsed="false">
      <c r="A15" s="3" t="s">
        <v>79</v>
      </c>
      <c r="B15" s="3" t="s">
        <v>67</v>
      </c>
      <c r="C15" s="3" t="s">
        <v>14</v>
      </c>
      <c r="D15" s="3" t="s">
        <v>35</v>
      </c>
      <c r="E15" s="3" t="s">
        <v>24</v>
      </c>
      <c r="F15" s="3" t="s">
        <v>80</v>
      </c>
      <c r="G15" s="3" t="s">
        <v>81</v>
      </c>
      <c r="H15" s="3" t="s">
        <v>82</v>
      </c>
      <c r="I15" s="3"/>
      <c r="J15" s="3" t="s">
        <v>20</v>
      </c>
      <c r="K15" s="3" t="s">
        <v>43</v>
      </c>
      <c r="L15" s="3" t="s">
        <v>44</v>
      </c>
    </row>
    <row r="16" customFormat="false" ht="15" hidden="false" customHeight="true" outlineLevel="0" collapsed="false">
      <c r="A16" s="3" t="s">
        <v>83</v>
      </c>
      <c r="B16" s="3" t="s">
        <v>67</v>
      </c>
      <c r="C16" s="3" t="s">
        <v>14</v>
      </c>
      <c r="D16" s="3" t="s">
        <v>15</v>
      </c>
      <c r="E16" s="3" t="s">
        <v>24</v>
      </c>
      <c r="F16" s="3" t="s">
        <v>84</v>
      </c>
      <c r="G16" s="3" t="s">
        <v>85</v>
      </c>
      <c r="H16" s="3" t="s">
        <v>86</v>
      </c>
      <c r="I16" s="3"/>
      <c r="J16" s="3" t="s">
        <v>20</v>
      </c>
      <c r="K16" s="3" t="s">
        <v>87</v>
      </c>
      <c r="L16" s="3" t="s">
        <v>88</v>
      </c>
    </row>
    <row r="17" customFormat="false" ht="15" hidden="false" customHeight="true" outlineLevel="0" collapsed="false">
      <c r="A17" s="3" t="s">
        <v>89</v>
      </c>
      <c r="B17" s="3" t="s">
        <v>67</v>
      </c>
      <c r="C17" s="3" t="s">
        <v>14</v>
      </c>
      <c r="D17" s="3" t="s">
        <v>35</v>
      </c>
      <c r="E17" s="3" t="s">
        <v>24</v>
      </c>
      <c r="F17" s="3" t="s">
        <v>90</v>
      </c>
      <c r="G17" s="3" t="s">
        <v>91</v>
      </c>
      <c r="H17" s="3" t="s">
        <v>86</v>
      </c>
      <c r="I17" s="3"/>
      <c r="J17" s="3" t="s">
        <v>20</v>
      </c>
      <c r="K17" s="3" t="s">
        <v>87</v>
      </c>
      <c r="L17" s="3" t="s">
        <v>88</v>
      </c>
    </row>
    <row r="18" customFormat="false" ht="23.25" hidden="false" customHeight="true" outlineLevel="0" collapsed="false">
      <c r="A18" s="3" t="s">
        <v>92</v>
      </c>
      <c r="B18" s="3" t="s">
        <v>67</v>
      </c>
      <c r="C18" s="3" t="s">
        <v>14</v>
      </c>
      <c r="D18" s="3" t="s">
        <v>35</v>
      </c>
      <c r="E18" s="3" t="s">
        <v>24</v>
      </c>
      <c r="F18" s="3" t="s">
        <v>93</v>
      </c>
      <c r="G18" s="3" t="s">
        <v>94</v>
      </c>
      <c r="H18" s="3" t="s">
        <v>86</v>
      </c>
      <c r="I18" s="3"/>
      <c r="J18" s="3" t="s">
        <v>20</v>
      </c>
      <c r="K18" s="3" t="s">
        <v>87</v>
      </c>
      <c r="L18" s="3" t="s">
        <v>88</v>
      </c>
    </row>
    <row r="19" customFormat="false" ht="15" hidden="false" customHeight="true" outlineLevel="0" collapsed="false">
      <c r="A19" s="3" t="s">
        <v>95</v>
      </c>
      <c r="B19" s="3" t="s">
        <v>96</v>
      </c>
      <c r="C19" s="3" t="s">
        <v>14</v>
      </c>
      <c r="D19" s="3" t="s">
        <v>15</v>
      </c>
      <c r="E19" s="3" t="s">
        <v>24</v>
      </c>
      <c r="F19" s="3" t="s">
        <v>97</v>
      </c>
      <c r="G19" s="3" t="s">
        <v>98</v>
      </c>
      <c r="H19" s="3" t="s">
        <v>99</v>
      </c>
      <c r="I19" s="3"/>
      <c r="J19" s="3" t="s">
        <v>20</v>
      </c>
      <c r="K19" s="3" t="s">
        <v>87</v>
      </c>
      <c r="L19" s="3" t="s">
        <v>88</v>
      </c>
    </row>
    <row r="20" customFormat="false" ht="15" hidden="false" customHeight="true" outlineLevel="0" collapsed="false">
      <c r="A20" s="3" t="s">
        <v>100</v>
      </c>
      <c r="B20" s="3" t="s">
        <v>67</v>
      </c>
      <c r="C20" s="3" t="s">
        <v>14</v>
      </c>
      <c r="D20" s="3" t="s">
        <v>15</v>
      </c>
      <c r="E20" s="3" t="s">
        <v>24</v>
      </c>
      <c r="F20" s="3" t="s">
        <v>101</v>
      </c>
      <c r="G20" s="3" t="s">
        <v>102</v>
      </c>
      <c r="H20" s="3" t="s">
        <v>103</v>
      </c>
      <c r="I20" s="3"/>
      <c r="J20" s="3" t="s">
        <v>20</v>
      </c>
      <c r="K20" s="3" t="s">
        <v>32</v>
      </c>
      <c r="L20" s="3" t="s">
        <v>33</v>
      </c>
    </row>
    <row r="21" customFormat="false" ht="23.25" hidden="false" customHeight="true" outlineLevel="0" collapsed="false">
      <c r="A21" s="3" t="s">
        <v>104</v>
      </c>
      <c r="B21" s="3" t="s">
        <v>105</v>
      </c>
      <c r="C21" s="3" t="s">
        <v>14</v>
      </c>
      <c r="D21" s="3" t="s">
        <v>15</v>
      </c>
      <c r="E21" s="3" t="s">
        <v>16</v>
      </c>
      <c r="F21" s="3" t="s">
        <v>106</v>
      </c>
      <c r="G21" s="3" t="s">
        <v>107</v>
      </c>
      <c r="H21" s="3" t="s">
        <v>108</v>
      </c>
      <c r="I21" s="3"/>
      <c r="J21" s="3" t="s">
        <v>20</v>
      </c>
      <c r="K21" s="3" t="s">
        <v>87</v>
      </c>
      <c r="L21" s="3" t="s">
        <v>88</v>
      </c>
    </row>
    <row r="22" customFormat="false" ht="23.25" hidden="false" customHeight="true" outlineLevel="0" collapsed="false">
      <c r="A22" s="3" t="s">
        <v>109</v>
      </c>
      <c r="B22" s="3" t="s">
        <v>105</v>
      </c>
      <c r="C22" s="3" t="s">
        <v>14</v>
      </c>
      <c r="D22" s="3" t="s">
        <v>15</v>
      </c>
      <c r="E22" s="3" t="s">
        <v>16</v>
      </c>
      <c r="F22" s="3" t="s">
        <v>110</v>
      </c>
      <c r="G22" s="3" t="s">
        <v>111</v>
      </c>
      <c r="H22" s="3" t="s">
        <v>112</v>
      </c>
      <c r="I22" s="3"/>
      <c r="J22" s="3" t="s">
        <v>20</v>
      </c>
      <c r="K22" s="3" t="s">
        <v>87</v>
      </c>
      <c r="L22" s="3" t="s">
        <v>88</v>
      </c>
    </row>
    <row r="23" customFormat="false" ht="15" hidden="false" customHeight="true" outlineLevel="0" collapsed="false">
      <c r="A23" s="3" t="s">
        <v>113</v>
      </c>
      <c r="B23" s="3" t="s">
        <v>105</v>
      </c>
      <c r="C23" s="3" t="s">
        <v>14</v>
      </c>
      <c r="D23" s="3" t="s">
        <v>35</v>
      </c>
      <c r="E23" s="3" t="s">
        <v>50</v>
      </c>
      <c r="F23" s="3" t="s">
        <v>114</v>
      </c>
      <c r="G23" s="3" t="s">
        <v>115</v>
      </c>
      <c r="H23" s="3" t="s">
        <v>53</v>
      </c>
      <c r="I23" s="3"/>
      <c r="J23" s="3" t="s">
        <v>20</v>
      </c>
      <c r="K23" s="3" t="s">
        <v>87</v>
      </c>
      <c r="L23" s="3" t="s">
        <v>88</v>
      </c>
    </row>
    <row r="24" customFormat="false" ht="15" hidden="false" customHeight="true" outlineLevel="0" collapsed="false">
      <c r="A24" s="3" t="s">
        <v>116</v>
      </c>
      <c r="B24" s="3" t="s">
        <v>105</v>
      </c>
      <c r="C24" s="3" t="s">
        <v>14</v>
      </c>
      <c r="D24" s="3" t="s">
        <v>35</v>
      </c>
      <c r="E24" s="3" t="s">
        <v>50</v>
      </c>
      <c r="F24" s="3" t="s">
        <v>117</v>
      </c>
      <c r="G24" s="3" t="s">
        <v>118</v>
      </c>
      <c r="H24" s="3" t="s">
        <v>119</v>
      </c>
      <c r="I24" s="3"/>
      <c r="J24" s="3" t="s">
        <v>20</v>
      </c>
      <c r="K24" s="3" t="s">
        <v>87</v>
      </c>
      <c r="L24" s="3" t="s">
        <v>88</v>
      </c>
    </row>
    <row r="25" customFormat="false" ht="15" hidden="false" customHeight="true" outlineLevel="0" collapsed="false">
      <c r="A25" s="3" t="s">
        <v>120</v>
      </c>
      <c r="B25" s="3" t="s">
        <v>105</v>
      </c>
      <c r="C25" s="3" t="s">
        <v>14</v>
      </c>
      <c r="D25" s="3" t="s">
        <v>15</v>
      </c>
      <c r="E25" s="3" t="s">
        <v>24</v>
      </c>
      <c r="F25" s="3" t="s">
        <v>121</v>
      </c>
      <c r="G25" s="3" t="s">
        <v>122</v>
      </c>
      <c r="H25" s="3" t="s">
        <v>123</v>
      </c>
      <c r="I25" s="3"/>
      <c r="J25" s="3" t="s">
        <v>20</v>
      </c>
      <c r="K25" s="3" t="s">
        <v>87</v>
      </c>
      <c r="L25" s="3" t="s">
        <v>88</v>
      </c>
    </row>
    <row r="26" customFormat="false" ht="23.25" hidden="false" customHeight="true" outlineLevel="0" collapsed="false">
      <c r="A26" s="3" t="s">
        <v>124</v>
      </c>
      <c r="B26" s="3" t="s">
        <v>105</v>
      </c>
      <c r="C26" s="3" t="s">
        <v>14</v>
      </c>
      <c r="D26" s="3" t="s">
        <v>15</v>
      </c>
      <c r="E26" s="3" t="s">
        <v>24</v>
      </c>
      <c r="F26" s="3" t="s">
        <v>125</v>
      </c>
      <c r="G26" s="3" t="s">
        <v>126</v>
      </c>
      <c r="H26" s="3" t="s">
        <v>127</v>
      </c>
      <c r="I26" s="3"/>
      <c r="J26" s="3" t="s">
        <v>20</v>
      </c>
      <c r="K26" s="3" t="s">
        <v>87</v>
      </c>
      <c r="L26" s="3" t="s">
        <v>88</v>
      </c>
    </row>
    <row r="27" customFormat="false" ht="15" hidden="false" customHeight="true" outlineLevel="0" collapsed="false">
      <c r="A27" s="3" t="s">
        <v>128</v>
      </c>
      <c r="B27" s="3" t="s">
        <v>105</v>
      </c>
      <c r="C27" s="3" t="s">
        <v>14</v>
      </c>
      <c r="D27" s="3" t="s">
        <v>35</v>
      </c>
      <c r="E27" s="3" t="s">
        <v>24</v>
      </c>
      <c r="F27" s="3" t="s">
        <v>129</v>
      </c>
      <c r="G27" s="3" t="s">
        <v>130</v>
      </c>
      <c r="H27" s="3" t="s">
        <v>131</v>
      </c>
      <c r="I27" s="3"/>
      <c r="J27" s="3" t="s">
        <v>20</v>
      </c>
      <c r="K27" s="3" t="s">
        <v>87</v>
      </c>
      <c r="L27" s="3" t="s">
        <v>88</v>
      </c>
    </row>
    <row r="28" customFormat="false" ht="15" hidden="false" customHeight="true" outlineLevel="0" collapsed="false">
      <c r="A28" s="3" t="s">
        <v>132</v>
      </c>
      <c r="B28" s="3" t="s">
        <v>133</v>
      </c>
      <c r="C28" s="3" t="s">
        <v>14</v>
      </c>
      <c r="D28" s="3" t="s">
        <v>15</v>
      </c>
      <c r="E28" s="3" t="s">
        <v>16</v>
      </c>
      <c r="F28" s="3" t="s">
        <v>134</v>
      </c>
      <c r="G28" s="3" t="s">
        <v>135</v>
      </c>
      <c r="H28" s="3" t="s">
        <v>136</v>
      </c>
      <c r="I28" s="3"/>
      <c r="J28" s="3" t="s">
        <v>20</v>
      </c>
      <c r="K28" s="3" t="s">
        <v>87</v>
      </c>
      <c r="L28" s="3" t="s">
        <v>88</v>
      </c>
    </row>
    <row r="29" customFormat="false" ht="23.25" hidden="false" customHeight="true" outlineLevel="0" collapsed="false">
      <c r="A29" s="3" t="s">
        <v>137</v>
      </c>
      <c r="B29" s="3" t="s">
        <v>133</v>
      </c>
      <c r="C29" s="3" t="s">
        <v>14</v>
      </c>
      <c r="D29" s="3" t="s">
        <v>15</v>
      </c>
      <c r="E29" s="3" t="s">
        <v>16</v>
      </c>
      <c r="F29" s="3" t="s">
        <v>138</v>
      </c>
      <c r="G29" s="3" t="s">
        <v>139</v>
      </c>
      <c r="H29" s="3" t="s">
        <v>140</v>
      </c>
      <c r="I29" s="3"/>
      <c r="J29" s="3" t="s">
        <v>20</v>
      </c>
      <c r="K29" s="3" t="s">
        <v>87</v>
      </c>
      <c r="L29" s="3" t="s">
        <v>88</v>
      </c>
    </row>
    <row r="30" customFormat="false" ht="23.25" hidden="false" customHeight="true" outlineLevel="0" collapsed="false">
      <c r="A30" s="3" t="s">
        <v>141</v>
      </c>
      <c r="B30" s="3" t="s">
        <v>133</v>
      </c>
      <c r="C30" s="3" t="s">
        <v>14</v>
      </c>
      <c r="D30" s="3" t="s">
        <v>35</v>
      </c>
      <c r="E30" s="3" t="s">
        <v>24</v>
      </c>
      <c r="F30" s="3" t="s">
        <v>142</v>
      </c>
      <c r="G30" s="3" t="s">
        <v>143</v>
      </c>
      <c r="H30" s="3" t="s">
        <v>144</v>
      </c>
      <c r="I30" s="3"/>
      <c r="J30" s="3" t="s">
        <v>20</v>
      </c>
      <c r="K30" s="3" t="s">
        <v>87</v>
      </c>
      <c r="L30" s="3" t="s">
        <v>88</v>
      </c>
    </row>
    <row r="31" customFormat="false" ht="15" hidden="false" customHeight="true" outlineLevel="0" collapsed="false">
      <c r="A31" s="3" t="s">
        <v>145</v>
      </c>
      <c r="B31" s="3" t="s">
        <v>133</v>
      </c>
      <c r="C31" s="3" t="s">
        <v>14</v>
      </c>
      <c r="D31" s="3" t="s">
        <v>15</v>
      </c>
      <c r="E31" s="3" t="s">
        <v>24</v>
      </c>
      <c r="F31" s="3" t="s">
        <v>146</v>
      </c>
      <c r="G31" s="3" t="s">
        <v>147</v>
      </c>
      <c r="H31" s="3" t="s">
        <v>86</v>
      </c>
      <c r="I31" s="3"/>
      <c r="J31" s="3" t="s">
        <v>20</v>
      </c>
      <c r="K31" s="3" t="s">
        <v>87</v>
      </c>
      <c r="L31" s="3" t="s">
        <v>88</v>
      </c>
    </row>
    <row r="32" customFormat="false" ht="15" hidden="false" customHeight="true" outlineLevel="0" collapsed="false">
      <c r="A32" s="3" t="s">
        <v>148</v>
      </c>
      <c r="B32" s="3" t="s">
        <v>133</v>
      </c>
      <c r="C32" s="3" t="s">
        <v>14</v>
      </c>
      <c r="D32" s="3" t="s">
        <v>15</v>
      </c>
      <c r="E32" s="3" t="s">
        <v>24</v>
      </c>
      <c r="F32" s="3" t="s">
        <v>149</v>
      </c>
      <c r="G32" s="3" t="s">
        <v>150</v>
      </c>
      <c r="H32" s="3" t="s">
        <v>151</v>
      </c>
      <c r="I32" s="3"/>
      <c r="J32" s="3" t="s">
        <v>20</v>
      </c>
      <c r="K32" s="3" t="s">
        <v>87</v>
      </c>
      <c r="L32" s="3" t="s">
        <v>88</v>
      </c>
    </row>
    <row r="33" customFormat="false" ht="23.25" hidden="false" customHeight="true" outlineLevel="0" collapsed="false">
      <c r="A33" s="3" t="s">
        <v>152</v>
      </c>
      <c r="B33" s="3" t="s">
        <v>133</v>
      </c>
      <c r="C33" s="3" t="s">
        <v>14</v>
      </c>
      <c r="D33" s="3" t="s">
        <v>15</v>
      </c>
      <c r="E33" s="3" t="s">
        <v>24</v>
      </c>
      <c r="F33" s="3" t="s">
        <v>153</v>
      </c>
      <c r="G33" s="3" t="s">
        <v>154</v>
      </c>
      <c r="H33" s="3" t="s">
        <v>155</v>
      </c>
      <c r="I33" s="3"/>
      <c r="J33" s="3" t="s">
        <v>20</v>
      </c>
      <c r="K33" s="3" t="s">
        <v>87</v>
      </c>
      <c r="L33" s="3" t="s">
        <v>88</v>
      </c>
    </row>
    <row r="34" customFormat="false" ht="23.25" hidden="false" customHeight="true" outlineLevel="0" collapsed="false">
      <c r="A34" s="3" t="s">
        <v>156</v>
      </c>
      <c r="B34" s="3" t="s">
        <v>157</v>
      </c>
      <c r="C34" s="3" t="s">
        <v>14</v>
      </c>
      <c r="D34" s="3" t="s">
        <v>15</v>
      </c>
      <c r="E34" s="3" t="s">
        <v>16</v>
      </c>
      <c r="F34" s="3" t="s">
        <v>158</v>
      </c>
      <c r="G34" s="3" t="s">
        <v>159</v>
      </c>
      <c r="H34" s="3" t="s">
        <v>160</v>
      </c>
      <c r="I34" s="3"/>
      <c r="J34" s="3" t="s">
        <v>20</v>
      </c>
      <c r="K34" s="3" t="s">
        <v>21</v>
      </c>
      <c r="L34" s="3" t="s">
        <v>22</v>
      </c>
    </row>
    <row r="35" customFormat="false" ht="15" hidden="false" customHeight="true" outlineLevel="0" collapsed="false">
      <c r="A35" s="3" t="s">
        <v>161</v>
      </c>
      <c r="B35" s="3" t="s">
        <v>157</v>
      </c>
      <c r="C35" s="3" t="s">
        <v>14</v>
      </c>
      <c r="D35" s="3" t="s">
        <v>35</v>
      </c>
      <c r="E35" s="3" t="s">
        <v>16</v>
      </c>
      <c r="F35" s="3" t="s">
        <v>162</v>
      </c>
      <c r="G35" s="3" t="s">
        <v>163</v>
      </c>
      <c r="H35" s="3" t="s">
        <v>164</v>
      </c>
      <c r="I35" s="3"/>
      <c r="J35" s="3" t="s">
        <v>20</v>
      </c>
      <c r="K35" s="3" t="s">
        <v>21</v>
      </c>
      <c r="L35" s="3" t="s">
        <v>22</v>
      </c>
    </row>
    <row r="36" customFormat="false" ht="15" hidden="false" customHeight="true" outlineLevel="0" collapsed="false">
      <c r="A36" s="3" t="s">
        <v>165</v>
      </c>
      <c r="B36" s="3" t="s">
        <v>157</v>
      </c>
      <c r="C36" s="3" t="s">
        <v>14</v>
      </c>
      <c r="D36" s="3" t="s">
        <v>15</v>
      </c>
      <c r="E36" s="3" t="s">
        <v>24</v>
      </c>
      <c r="F36" s="3" t="s">
        <v>166</v>
      </c>
      <c r="G36" s="3" t="s">
        <v>167</v>
      </c>
      <c r="H36" s="3" t="s">
        <v>168</v>
      </c>
      <c r="I36" s="3"/>
      <c r="J36" s="3" t="s">
        <v>20</v>
      </c>
      <c r="K36" s="3" t="s">
        <v>21</v>
      </c>
      <c r="L36" s="3" t="s">
        <v>22</v>
      </c>
    </row>
    <row r="37" customFormat="false" ht="23.25" hidden="false" customHeight="true" outlineLevel="0" collapsed="false">
      <c r="A37" s="3" t="s">
        <v>169</v>
      </c>
      <c r="B37" s="3" t="s">
        <v>170</v>
      </c>
      <c r="C37" s="3" t="s">
        <v>14</v>
      </c>
      <c r="D37" s="3" t="s">
        <v>15</v>
      </c>
      <c r="E37" s="3" t="s">
        <v>50</v>
      </c>
      <c r="F37" s="3" t="s">
        <v>171</v>
      </c>
      <c r="G37" s="3" t="s">
        <v>172</v>
      </c>
      <c r="H37" s="3" t="s">
        <v>173</v>
      </c>
      <c r="I37" s="3"/>
      <c r="J37" s="3" t="s">
        <v>20</v>
      </c>
      <c r="K37" s="3" t="s">
        <v>21</v>
      </c>
      <c r="L37" s="3" t="s">
        <v>22</v>
      </c>
    </row>
    <row r="38" customFormat="false" ht="23.25" hidden="false" customHeight="true" outlineLevel="0" collapsed="false">
      <c r="A38" s="3" t="s">
        <v>174</v>
      </c>
      <c r="B38" s="3" t="s">
        <v>170</v>
      </c>
      <c r="C38" s="3" t="s">
        <v>14</v>
      </c>
      <c r="D38" s="3" t="s">
        <v>15</v>
      </c>
      <c r="E38" s="3" t="s">
        <v>50</v>
      </c>
      <c r="F38" s="3" t="s">
        <v>175</v>
      </c>
      <c r="G38" s="3" t="s">
        <v>176</v>
      </c>
      <c r="H38" s="3" t="s">
        <v>177</v>
      </c>
      <c r="I38" s="3"/>
      <c r="J38" s="3" t="s">
        <v>20</v>
      </c>
      <c r="K38" s="3" t="s">
        <v>21</v>
      </c>
      <c r="L38" s="3" t="s">
        <v>22</v>
      </c>
    </row>
    <row r="39" customFormat="false" ht="15" hidden="false" customHeight="true" outlineLevel="0" collapsed="false">
      <c r="A39" s="3" t="s">
        <v>178</v>
      </c>
      <c r="B39" s="3" t="s">
        <v>170</v>
      </c>
      <c r="C39" s="3" t="s">
        <v>14</v>
      </c>
      <c r="D39" s="3" t="s">
        <v>15</v>
      </c>
      <c r="E39" s="3" t="s">
        <v>24</v>
      </c>
      <c r="F39" s="3" t="s">
        <v>179</v>
      </c>
      <c r="G39" s="3" t="s">
        <v>180</v>
      </c>
      <c r="H39" s="3" t="s">
        <v>181</v>
      </c>
      <c r="I39" s="3"/>
      <c r="J39" s="3" t="s">
        <v>20</v>
      </c>
      <c r="K39" s="3" t="s">
        <v>21</v>
      </c>
      <c r="L39" s="3" t="s">
        <v>22</v>
      </c>
    </row>
    <row r="40" customFormat="false" ht="15" hidden="false" customHeight="true" outlineLevel="0" collapsed="false">
      <c r="A40" s="3" t="s">
        <v>182</v>
      </c>
      <c r="B40" s="3" t="s">
        <v>170</v>
      </c>
      <c r="C40" s="3" t="s">
        <v>14</v>
      </c>
      <c r="D40" s="3" t="s">
        <v>35</v>
      </c>
      <c r="E40" s="3" t="s">
        <v>50</v>
      </c>
      <c r="F40" s="3" t="s">
        <v>183</v>
      </c>
      <c r="G40" s="3" t="s">
        <v>184</v>
      </c>
      <c r="H40" s="3" t="s">
        <v>185</v>
      </c>
      <c r="I40" s="3"/>
      <c r="J40" s="3" t="s">
        <v>20</v>
      </c>
      <c r="K40" s="3" t="s">
        <v>21</v>
      </c>
      <c r="L40" s="3" t="s">
        <v>22</v>
      </c>
    </row>
    <row r="41" customFormat="false" ht="15" hidden="false" customHeight="true" outlineLevel="0" collapsed="false">
      <c r="A41" s="3" t="s">
        <v>186</v>
      </c>
      <c r="B41" s="3" t="s">
        <v>170</v>
      </c>
      <c r="C41" s="3" t="s">
        <v>14</v>
      </c>
      <c r="D41" s="3" t="s">
        <v>15</v>
      </c>
      <c r="E41" s="3" t="s">
        <v>16</v>
      </c>
      <c r="F41" s="3" t="s">
        <v>187</v>
      </c>
      <c r="G41" s="3" t="s">
        <v>188</v>
      </c>
      <c r="H41" s="3" t="s">
        <v>189</v>
      </c>
      <c r="I41" s="3"/>
      <c r="J41" s="3" t="s">
        <v>20</v>
      </c>
      <c r="K41" s="3" t="s">
        <v>21</v>
      </c>
      <c r="L41" s="3" t="s">
        <v>22</v>
      </c>
    </row>
    <row r="42" customFormat="false" ht="15" hidden="false" customHeight="true" outlineLevel="0" collapsed="false">
      <c r="A42" s="3" t="s">
        <v>190</v>
      </c>
      <c r="B42" s="3" t="s">
        <v>191</v>
      </c>
      <c r="C42" s="3" t="s">
        <v>14</v>
      </c>
      <c r="D42" s="3" t="s">
        <v>35</v>
      </c>
      <c r="E42" s="3" t="s">
        <v>24</v>
      </c>
      <c r="F42" s="3" t="s">
        <v>192</v>
      </c>
      <c r="G42" s="3" t="s">
        <v>193</v>
      </c>
      <c r="H42" s="3" t="s">
        <v>194</v>
      </c>
      <c r="I42" s="3"/>
      <c r="J42" s="3" t="s">
        <v>20</v>
      </c>
      <c r="K42" s="3" t="s">
        <v>32</v>
      </c>
      <c r="L42" s="3" t="s">
        <v>33</v>
      </c>
    </row>
    <row r="43" customFormat="false" ht="15" hidden="false" customHeight="true" outlineLevel="0" collapsed="false">
      <c r="A43" s="3" t="s">
        <v>195</v>
      </c>
      <c r="B43" s="3" t="s">
        <v>196</v>
      </c>
      <c r="C43" s="3" t="s">
        <v>197</v>
      </c>
      <c r="D43" s="3" t="s">
        <v>15</v>
      </c>
      <c r="E43" s="3" t="s">
        <v>16</v>
      </c>
      <c r="F43" s="3" t="s">
        <v>198</v>
      </c>
      <c r="G43" s="3" t="s">
        <v>199</v>
      </c>
      <c r="H43" s="3" t="s">
        <v>200</v>
      </c>
      <c r="I43" s="3"/>
      <c r="J43" s="3" t="s">
        <v>20</v>
      </c>
      <c r="K43" s="3" t="s">
        <v>87</v>
      </c>
      <c r="L43" s="3" t="s">
        <v>88</v>
      </c>
    </row>
    <row r="44" customFormat="false" ht="15" hidden="false" customHeight="true" outlineLevel="0" collapsed="false">
      <c r="A44" s="3" t="s">
        <v>201</v>
      </c>
      <c r="B44" s="3" t="s">
        <v>196</v>
      </c>
      <c r="C44" s="3" t="s">
        <v>197</v>
      </c>
      <c r="D44" s="3" t="s">
        <v>15</v>
      </c>
      <c r="E44" s="3" t="s">
        <v>50</v>
      </c>
      <c r="F44" s="3" t="s">
        <v>202</v>
      </c>
      <c r="G44" s="3" t="s">
        <v>203</v>
      </c>
      <c r="H44" s="3" t="s">
        <v>204</v>
      </c>
      <c r="I44" s="3"/>
      <c r="J44" s="3" t="s">
        <v>20</v>
      </c>
      <c r="K44" s="3" t="s">
        <v>87</v>
      </c>
      <c r="L44" s="3" t="s">
        <v>88</v>
      </c>
    </row>
    <row r="45" customFormat="false" ht="15" hidden="false" customHeight="true" outlineLevel="0" collapsed="false">
      <c r="A45" s="3" t="s">
        <v>205</v>
      </c>
      <c r="B45" s="3" t="s">
        <v>196</v>
      </c>
      <c r="C45" s="3" t="s">
        <v>197</v>
      </c>
      <c r="D45" s="3" t="s">
        <v>15</v>
      </c>
      <c r="E45" s="3" t="s">
        <v>24</v>
      </c>
      <c r="F45" s="3" t="s">
        <v>206</v>
      </c>
      <c r="G45" s="3" t="s">
        <v>207</v>
      </c>
      <c r="H45" s="3" t="s">
        <v>208</v>
      </c>
      <c r="I45" s="3"/>
      <c r="J45" s="3" t="s">
        <v>20</v>
      </c>
      <c r="K45" s="3" t="s">
        <v>87</v>
      </c>
      <c r="L45" s="3" t="s">
        <v>88</v>
      </c>
    </row>
    <row r="46" customFormat="false" ht="15" hidden="false" customHeight="true" outlineLevel="0" collapsed="false">
      <c r="A46" s="3" t="s">
        <v>209</v>
      </c>
      <c r="B46" s="3" t="s">
        <v>210</v>
      </c>
      <c r="C46" s="3" t="s">
        <v>197</v>
      </c>
      <c r="D46" s="3" t="s">
        <v>15</v>
      </c>
      <c r="E46" s="3" t="s">
        <v>16</v>
      </c>
      <c r="F46" s="3" t="s">
        <v>211</v>
      </c>
      <c r="G46" s="3" t="s">
        <v>212</v>
      </c>
      <c r="H46" s="3" t="s">
        <v>213</v>
      </c>
      <c r="I46" s="3"/>
      <c r="J46" s="3" t="s">
        <v>20</v>
      </c>
      <c r="K46" s="3" t="s">
        <v>87</v>
      </c>
      <c r="L46" s="3" t="s">
        <v>88</v>
      </c>
    </row>
    <row r="47" customFormat="false" ht="15" hidden="false" customHeight="true" outlineLevel="0" collapsed="false">
      <c r="A47" s="3" t="s">
        <v>214</v>
      </c>
      <c r="B47" s="3" t="s">
        <v>210</v>
      </c>
      <c r="C47" s="3" t="s">
        <v>197</v>
      </c>
      <c r="D47" s="3" t="s">
        <v>15</v>
      </c>
      <c r="E47" s="3" t="s">
        <v>16</v>
      </c>
      <c r="F47" s="3" t="s">
        <v>215</v>
      </c>
      <c r="G47" s="3" t="s">
        <v>216</v>
      </c>
      <c r="H47" s="3" t="s">
        <v>217</v>
      </c>
      <c r="I47" s="3"/>
      <c r="J47" s="3" t="s">
        <v>20</v>
      </c>
      <c r="K47" s="3" t="s">
        <v>87</v>
      </c>
      <c r="L47" s="3" t="s">
        <v>88</v>
      </c>
    </row>
    <row r="48" customFormat="false" ht="15" hidden="false" customHeight="true" outlineLevel="0" collapsed="false">
      <c r="A48" s="3" t="s">
        <v>218</v>
      </c>
      <c r="B48" s="3" t="s">
        <v>210</v>
      </c>
      <c r="C48" s="3" t="s">
        <v>197</v>
      </c>
      <c r="D48" s="3" t="s">
        <v>15</v>
      </c>
      <c r="E48" s="3" t="s">
        <v>50</v>
      </c>
      <c r="F48" s="3" t="s">
        <v>219</v>
      </c>
      <c r="G48" s="3" t="s">
        <v>220</v>
      </c>
      <c r="H48" s="3" t="s">
        <v>221</v>
      </c>
      <c r="I48" s="3"/>
      <c r="J48" s="3" t="s">
        <v>20</v>
      </c>
      <c r="K48" s="3" t="s">
        <v>87</v>
      </c>
      <c r="L48" s="3" t="s">
        <v>88</v>
      </c>
    </row>
    <row r="49" customFormat="false" ht="23.25" hidden="false" customHeight="true" outlineLevel="0" collapsed="false">
      <c r="A49" s="3" t="s">
        <v>222</v>
      </c>
      <c r="B49" s="3" t="s">
        <v>210</v>
      </c>
      <c r="C49" s="3" t="s">
        <v>197</v>
      </c>
      <c r="D49" s="3" t="s">
        <v>15</v>
      </c>
      <c r="E49" s="3" t="s">
        <v>50</v>
      </c>
      <c r="F49" s="3" t="s">
        <v>223</v>
      </c>
      <c r="G49" s="3" t="s">
        <v>224</v>
      </c>
      <c r="H49" s="3" t="s">
        <v>225</v>
      </c>
      <c r="I49" s="3"/>
      <c r="J49" s="3" t="s">
        <v>20</v>
      </c>
      <c r="K49" s="3" t="s">
        <v>87</v>
      </c>
      <c r="L49" s="3" t="s">
        <v>88</v>
      </c>
    </row>
    <row r="50" customFormat="false" ht="15" hidden="false" customHeight="true" outlineLevel="0" collapsed="false">
      <c r="A50" s="3" t="s">
        <v>226</v>
      </c>
      <c r="B50" s="3" t="s">
        <v>210</v>
      </c>
      <c r="C50" s="3" t="s">
        <v>197</v>
      </c>
      <c r="D50" s="3" t="s">
        <v>15</v>
      </c>
      <c r="E50" s="3" t="s">
        <v>24</v>
      </c>
      <c r="F50" s="3" t="s">
        <v>227</v>
      </c>
      <c r="G50" s="3" t="s">
        <v>228</v>
      </c>
      <c r="H50" s="3" t="s">
        <v>229</v>
      </c>
      <c r="I50" s="3"/>
      <c r="J50" s="3" t="s">
        <v>20</v>
      </c>
      <c r="K50" s="3" t="s">
        <v>87</v>
      </c>
      <c r="L50" s="3" t="s">
        <v>88</v>
      </c>
    </row>
    <row r="51" customFormat="false" ht="15" hidden="false" customHeight="true" outlineLevel="0" collapsed="false">
      <c r="A51" s="3" t="s">
        <v>230</v>
      </c>
      <c r="B51" s="3" t="s">
        <v>210</v>
      </c>
      <c r="C51" s="3" t="s">
        <v>197</v>
      </c>
      <c r="D51" s="3" t="s">
        <v>15</v>
      </c>
      <c r="E51" s="3" t="s">
        <v>50</v>
      </c>
      <c r="F51" s="3" t="s">
        <v>231</v>
      </c>
      <c r="G51" s="3" t="s">
        <v>232</v>
      </c>
      <c r="H51" s="3" t="s">
        <v>233</v>
      </c>
      <c r="I51" s="3"/>
      <c r="J51" s="3" t="s">
        <v>20</v>
      </c>
      <c r="K51" s="3" t="s">
        <v>87</v>
      </c>
      <c r="L51" s="3" t="s">
        <v>88</v>
      </c>
    </row>
    <row r="52" customFormat="false" ht="15" hidden="false" customHeight="true" outlineLevel="0" collapsed="false">
      <c r="A52" s="3" t="s">
        <v>234</v>
      </c>
      <c r="B52" s="3" t="s">
        <v>210</v>
      </c>
      <c r="C52" s="3" t="s">
        <v>197</v>
      </c>
      <c r="D52" s="3" t="s">
        <v>15</v>
      </c>
      <c r="E52" s="3" t="s">
        <v>50</v>
      </c>
      <c r="F52" s="3" t="s">
        <v>235</v>
      </c>
      <c r="G52" s="3" t="s">
        <v>236</v>
      </c>
      <c r="H52" s="3" t="s">
        <v>237</v>
      </c>
      <c r="I52" s="3"/>
      <c r="J52" s="3" t="s">
        <v>20</v>
      </c>
      <c r="K52" s="3" t="s">
        <v>87</v>
      </c>
      <c r="L52" s="3" t="s">
        <v>88</v>
      </c>
    </row>
    <row r="53" customFormat="false" ht="23.25" hidden="false" customHeight="true" outlineLevel="0" collapsed="false">
      <c r="A53" s="3" t="s">
        <v>238</v>
      </c>
      <c r="B53" s="3" t="s">
        <v>210</v>
      </c>
      <c r="C53" s="3" t="s">
        <v>197</v>
      </c>
      <c r="D53" s="3" t="s">
        <v>15</v>
      </c>
      <c r="E53" s="3" t="s">
        <v>50</v>
      </c>
      <c r="F53" s="3" t="s">
        <v>239</v>
      </c>
      <c r="G53" s="3" t="s">
        <v>240</v>
      </c>
      <c r="H53" s="3" t="s">
        <v>241</v>
      </c>
      <c r="I53" s="3"/>
      <c r="J53" s="3" t="s">
        <v>20</v>
      </c>
      <c r="K53" s="3" t="s">
        <v>87</v>
      </c>
      <c r="L53" s="3" t="s">
        <v>88</v>
      </c>
    </row>
    <row r="54" customFormat="false" ht="15" hidden="false" customHeight="true" outlineLevel="0" collapsed="false">
      <c r="A54" s="3" t="s">
        <v>242</v>
      </c>
      <c r="B54" s="3" t="s">
        <v>210</v>
      </c>
      <c r="C54" s="3" t="s">
        <v>197</v>
      </c>
      <c r="D54" s="3" t="s">
        <v>15</v>
      </c>
      <c r="E54" s="3" t="s">
        <v>16</v>
      </c>
      <c r="F54" s="3" t="s">
        <v>243</v>
      </c>
      <c r="G54" s="3" t="s">
        <v>244</v>
      </c>
      <c r="H54" s="3" t="s">
        <v>245</v>
      </c>
      <c r="I54" s="3"/>
      <c r="J54" s="3" t="s">
        <v>20</v>
      </c>
      <c r="K54" s="3" t="s">
        <v>87</v>
      </c>
      <c r="L54" s="3" t="s">
        <v>88</v>
      </c>
    </row>
    <row r="55" customFormat="false" ht="23.25" hidden="false" customHeight="true" outlineLevel="0" collapsed="false">
      <c r="A55" s="3" t="s">
        <v>246</v>
      </c>
      <c r="B55" s="3" t="s">
        <v>247</v>
      </c>
      <c r="C55" s="3" t="s">
        <v>197</v>
      </c>
      <c r="D55" s="3" t="s">
        <v>15</v>
      </c>
      <c r="E55" s="3" t="s">
        <v>16</v>
      </c>
      <c r="F55" s="3" t="s">
        <v>248</v>
      </c>
      <c r="G55" s="3" t="s">
        <v>249</v>
      </c>
      <c r="H55" s="3" t="s">
        <v>250</v>
      </c>
      <c r="I55" s="3"/>
      <c r="J55" s="3" t="s">
        <v>20</v>
      </c>
      <c r="K55" s="3" t="s">
        <v>87</v>
      </c>
      <c r="L55" s="3" t="s">
        <v>88</v>
      </c>
    </row>
    <row r="56" customFormat="false" ht="15" hidden="false" customHeight="true" outlineLevel="0" collapsed="false">
      <c r="A56" s="3" t="s">
        <v>251</v>
      </c>
      <c r="B56" s="3" t="s">
        <v>247</v>
      </c>
      <c r="C56" s="3" t="s">
        <v>197</v>
      </c>
      <c r="D56" s="3" t="s">
        <v>15</v>
      </c>
      <c r="E56" s="3" t="s">
        <v>24</v>
      </c>
      <c r="F56" s="3" t="s">
        <v>252</v>
      </c>
      <c r="G56" s="3" t="s">
        <v>253</v>
      </c>
      <c r="H56" s="3" t="s">
        <v>254</v>
      </c>
      <c r="I56" s="3"/>
      <c r="J56" s="3" t="s">
        <v>20</v>
      </c>
      <c r="K56" s="3" t="s">
        <v>87</v>
      </c>
      <c r="L56" s="3" t="s">
        <v>88</v>
      </c>
    </row>
    <row r="57" customFormat="false" ht="15" hidden="false" customHeight="true" outlineLevel="0" collapsed="false">
      <c r="A57" s="3" t="s">
        <v>255</v>
      </c>
      <c r="B57" s="3" t="s">
        <v>247</v>
      </c>
      <c r="C57" s="3" t="s">
        <v>197</v>
      </c>
      <c r="D57" s="3" t="s">
        <v>15</v>
      </c>
      <c r="E57" s="3" t="s">
        <v>24</v>
      </c>
      <c r="F57" s="3" t="s">
        <v>256</v>
      </c>
      <c r="G57" s="3" t="s">
        <v>257</v>
      </c>
      <c r="H57" s="3" t="s">
        <v>258</v>
      </c>
      <c r="I57" s="3"/>
      <c r="J57" s="3" t="s">
        <v>20</v>
      </c>
      <c r="K57" s="3" t="s">
        <v>87</v>
      </c>
      <c r="L57" s="3" t="s">
        <v>88</v>
      </c>
    </row>
    <row r="58" customFormat="false" ht="15" hidden="false" customHeight="true" outlineLevel="0" collapsed="false">
      <c r="A58" s="3" t="s">
        <v>259</v>
      </c>
      <c r="B58" s="3" t="s">
        <v>247</v>
      </c>
      <c r="C58" s="3" t="s">
        <v>197</v>
      </c>
      <c r="D58" s="3" t="s">
        <v>15</v>
      </c>
      <c r="E58" s="3" t="s">
        <v>24</v>
      </c>
      <c r="F58" s="3" t="s">
        <v>260</v>
      </c>
      <c r="G58" s="3" t="s">
        <v>261</v>
      </c>
      <c r="H58" s="3" t="s">
        <v>262</v>
      </c>
      <c r="I58" s="3"/>
      <c r="J58" s="3" t="s">
        <v>20</v>
      </c>
      <c r="K58" s="3" t="s">
        <v>87</v>
      </c>
      <c r="L58" s="3" t="s">
        <v>88</v>
      </c>
    </row>
    <row r="59" customFormat="false" ht="15" hidden="false" customHeight="true" outlineLevel="0" collapsed="false">
      <c r="A59" s="3" t="s">
        <v>263</v>
      </c>
      <c r="B59" s="3" t="s">
        <v>264</v>
      </c>
      <c r="C59" s="3" t="s">
        <v>197</v>
      </c>
      <c r="D59" s="3" t="s">
        <v>15</v>
      </c>
      <c r="E59" s="3" t="s">
        <v>16</v>
      </c>
      <c r="F59" s="3" t="s">
        <v>265</v>
      </c>
      <c r="G59" s="3" t="s">
        <v>266</v>
      </c>
      <c r="H59" s="3" t="s">
        <v>267</v>
      </c>
      <c r="I59" s="3"/>
      <c r="J59" s="3" t="s">
        <v>20</v>
      </c>
      <c r="K59" s="3" t="s">
        <v>87</v>
      </c>
      <c r="L59" s="3" t="s">
        <v>88</v>
      </c>
    </row>
    <row r="60" customFormat="false" ht="15" hidden="false" customHeight="true" outlineLevel="0" collapsed="false">
      <c r="A60" s="3" t="s">
        <v>268</v>
      </c>
      <c r="B60" s="3" t="s">
        <v>264</v>
      </c>
      <c r="C60" s="3" t="s">
        <v>197</v>
      </c>
      <c r="D60" s="3" t="s">
        <v>15</v>
      </c>
      <c r="E60" s="3" t="s">
        <v>16</v>
      </c>
      <c r="F60" s="3" t="s">
        <v>269</v>
      </c>
      <c r="G60" s="3" t="s">
        <v>270</v>
      </c>
      <c r="H60" s="3" t="s">
        <v>271</v>
      </c>
      <c r="I60" s="3"/>
      <c r="J60" s="3" t="s">
        <v>20</v>
      </c>
      <c r="K60" s="3" t="s">
        <v>87</v>
      </c>
      <c r="L60" s="3" t="s">
        <v>88</v>
      </c>
    </row>
    <row r="61" customFormat="false" ht="15" hidden="false" customHeight="true" outlineLevel="0" collapsed="false">
      <c r="A61" s="3" t="s">
        <v>272</v>
      </c>
      <c r="B61" s="3" t="s">
        <v>264</v>
      </c>
      <c r="C61" s="3" t="s">
        <v>197</v>
      </c>
      <c r="D61" s="3" t="s">
        <v>15</v>
      </c>
      <c r="E61" s="3" t="s">
        <v>16</v>
      </c>
      <c r="F61" s="3" t="s">
        <v>273</v>
      </c>
      <c r="G61" s="3" t="s">
        <v>274</v>
      </c>
      <c r="H61" s="3" t="s">
        <v>275</v>
      </c>
      <c r="I61" s="3"/>
      <c r="J61" s="3" t="s">
        <v>20</v>
      </c>
      <c r="K61" s="3" t="s">
        <v>87</v>
      </c>
      <c r="L61" s="3" t="s">
        <v>88</v>
      </c>
    </row>
    <row r="62" customFormat="false" ht="15" hidden="false" customHeight="true" outlineLevel="0" collapsed="false">
      <c r="A62" s="3" t="s">
        <v>276</v>
      </c>
      <c r="B62" s="3" t="s">
        <v>264</v>
      </c>
      <c r="C62" s="3" t="s">
        <v>197</v>
      </c>
      <c r="D62" s="3" t="s">
        <v>15</v>
      </c>
      <c r="E62" s="3" t="s">
        <v>50</v>
      </c>
      <c r="F62" s="3" t="s">
        <v>277</v>
      </c>
      <c r="G62" s="3" t="s">
        <v>278</v>
      </c>
      <c r="H62" s="3" t="s">
        <v>279</v>
      </c>
      <c r="I62" s="3"/>
      <c r="J62" s="3" t="s">
        <v>20</v>
      </c>
      <c r="K62" s="3" t="s">
        <v>87</v>
      </c>
      <c r="L62" s="3" t="s">
        <v>88</v>
      </c>
    </row>
    <row r="63" customFormat="false" ht="15" hidden="false" customHeight="true" outlineLevel="0" collapsed="false">
      <c r="A63" s="3" t="s">
        <v>280</v>
      </c>
      <c r="B63" s="3" t="s">
        <v>264</v>
      </c>
      <c r="C63" s="3" t="s">
        <v>197</v>
      </c>
      <c r="D63" s="3" t="s">
        <v>15</v>
      </c>
      <c r="E63" s="3" t="s">
        <v>24</v>
      </c>
      <c r="F63" s="3" t="s">
        <v>281</v>
      </c>
      <c r="G63" s="3" t="s">
        <v>282</v>
      </c>
      <c r="H63" s="3" t="s">
        <v>283</v>
      </c>
      <c r="I63" s="3"/>
      <c r="J63" s="3" t="s">
        <v>20</v>
      </c>
      <c r="K63" s="3" t="s">
        <v>87</v>
      </c>
      <c r="L63" s="3" t="s">
        <v>88</v>
      </c>
    </row>
    <row r="64" customFormat="false" ht="23.25" hidden="false" customHeight="true" outlineLevel="0" collapsed="false">
      <c r="A64" s="3" t="s">
        <v>284</v>
      </c>
      <c r="B64" s="3" t="s">
        <v>285</v>
      </c>
      <c r="C64" s="3" t="s">
        <v>286</v>
      </c>
      <c r="D64" s="3" t="s">
        <v>15</v>
      </c>
      <c r="E64" s="3" t="s">
        <v>16</v>
      </c>
      <c r="F64" s="3" t="s">
        <v>287</v>
      </c>
      <c r="G64" s="3" t="s">
        <v>288</v>
      </c>
      <c r="H64" s="3" t="s">
        <v>289</v>
      </c>
      <c r="I64" s="3"/>
      <c r="J64" s="3" t="s">
        <v>20</v>
      </c>
      <c r="K64" s="3" t="s">
        <v>87</v>
      </c>
      <c r="L64" s="3" t="s">
        <v>88</v>
      </c>
    </row>
    <row r="65" customFormat="false" ht="15" hidden="false" customHeight="true" outlineLevel="0" collapsed="false">
      <c r="A65" s="3" t="s">
        <v>290</v>
      </c>
      <c r="B65" s="3" t="s">
        <v>285</v>
      </c>
      <c r="C65" s="3" t="s">
        <v>286</v>
      </c>
      <c r="D65" s="3" t="s">
        <v>35</v>
      </c>
      <c r="E65" s="3" t="s">
        <v>16</v>
      </c>
      <c r="F65" s="3" t="s">
        <v>291</v>
      </c>
      <c r="G65" s="3" t="s">
        <v>292</v>
      </c>
      <c r="H65" s="3" t="s">
        <v>293</v>
      </c>
      <c r="I65" s="3"/>
      <c r="J65" s="3" t="s">
        <v>20</v>
      </c>
      <c r="K65" s="3" t="s">
        <v>87</v>
      </c>
      <c r="L65" s="3" t="s">
        <v>88</v>
      </c>
    </row>
    <row r="66" customFormat="false" ht="15" hidden="false" customHeight="true" outlineLevel="0" collapsed="false">
      <c r="A66" s="3" t="s">
        <v>294</v>
      </c>
      <c r="B66" s="3" t="s">
        <v>285</v>
      </c>
      <c r="C66" s="3" t="s">
        <v>286</v>
      </c>
      <c r="D66" s="3" t="s">
        <v>35</v>
      </c>
      <c r="E66" s="3" t="s">
        <v>24</v>
      </c>
      <c r="F66" s="3" t="s">
        <v>295</v>
      </c>
      <c r="G66" s="3" t="s">
        <v>296</v>
      </c>
      <c r="H66" s="3" t="s">
        <v>297</v>
      </c>
      <c r="I66" s="3"/>
      <c r="J66" s="3" t="s">
        <v>20</v>
      </c>
      <c r="K66" s="3" t="s">
        <v>87</v>
      </c>
      <c r="L66" s="3" t="s">
        <v>88</v>
      </c>
    </row>
    <row r="67" customFormat="false" ht="15" hidden="false" customHeight="true" outlineLevel="0" collapsed="false">
      <c r="A67" s="3" t="s">
        <v>298</v>
      </c>
      <c r="B67" s="3" t="s">
        <v>285</v>
      </c>
      <c r="C67" s="3" t="s">
        <v>286</v>
      </c>
      <c r="D67" s="3" t="s">
        <v>35</v>
      </c>
      <c r="E67" s="3" t="s">
        <v>24</v>
      </c>
      <c r="F67" s="3" t="s">
        <v>299</v>
      </c>
      <c r="G67" s="3" t="s">
        <v>300</v>
      </c>
      <c r="H67" s="3" t="s">
        <v>301</v>
      </c>
      <c r="I67" s="3"/>
      <c r="J67" s="3" t="s">
        <v>20</v>
      </c>
      <c r="K67" s="3" t="s">
        <v>87</v>
      </c>
      <c r="L67" s="3" t="s">
        <v>88</v>
      </c>
    </row>
    <row r="68" customFormat="false" ht="15" hidden="false" customHeight="true" outlineLevel="0" collapsed="false">
      <c r="A68" s="3" t="s">
        <v>302</v>
      </c>
      <c r="B68" s="3" t="s">
        <v>285</v>
      </c>
      <c r="C68" s="3" t="s">
        <v>286</v>
      </c>
      <c r="D68" s="3" t="s">
        <v>35</v>
      </c>
      <c r="E68" s="3" t="s">
        <v>50</v>
      </c>
      <c r="F68" s="3" t="s">
        <v>303</v>
      </c>
      <c r="G68" s="3" t="s">
        <v>304</v>
      </c>
      <c r="H68" s="3" t="s">
        <v>305</v>
      </c>
      <c r="I68" s="3"/>
      <c r="J68" s="3" t="s">
        <v>20</v>
      </c>
      <c r="K68" s="3" t="s">
        <v>87</v>
      </c>
      <c r="L68" s="3" t="s">
        <v>88</v>
      </c>
    </row>
    <row r="69" customFormat="false" ht="15" hidden="false" customHeight="true" outlineLevel="0" collapsed="false">
      <c r="A69" s="3" t="s">
        <v>306</v>
      </c>
      <c r="B69" s="3" t="s">
        <v>285</v>
      </c>
      <c r="C69" s="3" t="s">
        <v>286</v>
      </c>
      <c r="D69" s="3" t="s">
        <v>35</v>
      </c>
      <c r="E69" s="3" t="s">
        <v>24</v>
      </c>
      <c r="F69" s="3" t="s">
        <v>307</v>
      </c>
      <c r="G69" s="3" t="s">
        <v>308</v>
      </c>
      <c r="H69" s="3" t="s">
        <v>144</v>
      </c>
      <c r="I69" s="3"/>
      <c r="J69" s="3" t="s">
        <v>20</v>
      </c>
      <c r="K69" s="3" t="s">
        <v>87</v>
      </c>
      <c r="L69" s="3" t="s">
        <v>88</v>
      </c>
    </row>
    <row r="70" customFormat="false" ht="15" hidden="false" customHeight="true" outlineLevel="0" collapsed="false">
      <c r="A70" s="3" t="s">
        <v>309</v>
      </c>
      <c r="B70" s="3" t="s">
        <v>285</v>
      </c>
      <c r="C70" s="3" t="s">
        <v>286</v>
      </c>
      <c r="D70" s="3" t="s">
        <v>35</v>
      </c>
      <c r="E70" s="3" t="s">
        <v>50</v>
      </c>
      <c r="F70" s="3" t="s">
        <v>310</v>
      </c>
      <c r="G70" s="3" t="s">
        <v>311</v>
      </c>
      <c r="H70" s="3" t="s">
        <v>312</v>
      </c>
      <c r="I70" s="3"/>
      <c r="J70" s="3" t="s">
        <v>20</v>
      </c>
      <c r="K70" s="3" t="s">
        <v>87</v>
      </c>
      <c r="L70" s="3" t="s">
        <v>88</v>
      </c>
    </row>
    <row r="71" customFormat="false" ht="15" hidden="false" customHeight="true" outlineLevel="0" collapsed="false">
      <c r="A71" s="3" t="s">
        <v>313</v>
      </c>
      <c r="B71" s="3" t="s">
        <v>285</v>
      </c>
      <c r="C71" s="3" t="s">
        <v>286</v>
      </c>
      <c r="D71" s="3" t="s">
        <v>35</v>
      </c>
      <c r="E71" s="3" t="s">
        <v>50</v>
      </c>
      <c r="F71" s="3" t="s">
        <v>314</v>
      </c>
      <c r="G71" s="3" t="s">
        <v>315</v>
      </c>
      <c r="H71" s="3" t="s">
        <v>316</v>
      </c>
      <c r="I71" s="3"/>
      <c r="J71" s="3" t="s">
        <v>20</v>
      </c>
      <c r="K71" s="3" t="s">
        <v>87</v>
      </c>
      <c r="L71" s="3" t="s">
        <v>88</v>
      </c>
    </row>
    <row r="72" customFormat="false" ht="15" hidden="false" customHeight="true" outlineLevel="0" collapsed="false">
      <c r="A72" s="3" t="s">
        <v>317</v>
      </c>
      <c r="B72" s="3" t="s">
        <v>285</v>
      </c>
      <c r="C72" s="3" t="s">
        <v>286</v>
      </c>
      <c r="D72" s="3" t="s">
        <v>15</v>
      </c>
      <c r="E72" s="3" t="s">
        <v>24</v>
      </c>
      <c r="F72" s="3" t="s">
        <v>318</v>
      </c>
      <c r="G72" s="3" t="s">
        <v>147</v>
      </c>
      <c r="H72" s="3" t="s">
        <v>86</v>
      </c>
      <c r="I72" s="3"/>
      <c r="J72" s="3" t="s">
        <v>20</v>
      </c>
      <c r="K72" s="3" t="s">
        <v>87</v>
      </c>
      <c r="L72" s="3" t="s">
        <v>88</v>
      </c>
    </row>
    <row r="73" customFormat="false" ht="15" hidden="false" customHeight="true" outlineLevel="0" collapsed="false">
      <c r="A73" s="3" t="s">
        <v>319</v>
      </c>
      <c r="B73" s="3" t="s">
        <v>285</v>
      </c>
      <c r="C73" s="3" t="s">
        <v>286</v>
      </c>
      <c r="D73" s="3" t="s">
        <v>15</v>
      </c>
      <c r="E73" s="3" t="s">
        <v>24</v>
      </c>
      <c r="F73" s="3" t="s">
        <v>320</v>
      </c>
      <c r="G73" s="3" t="s">
        <v>321</v>
      </c>
      <c r="H73" s="3" t="s">
        <v>322</v>
      </c>
      <c r="I73" s="3"/>
      <c r="J73" s="3" t="s">
        <v>20</v>
      </c>
      <c r="K73" s="3" t="s">
        <v>87</v>
      </c>
      <c r="L73" s="3" t="s">
        <v>88</v>
      </c>
    </row>
    <row r="74" customFormat="false" ht="15" hidden="false" customHeight="true" outlineLevel="0" collapsed="false">
      <c r="A74" s="3" t="s">
        <v>323</v>
      </c>
      <c r="B74" s="3" t="s">
        <v>285</v>
      </c>
      <c r="C74" s="3" t="s">
        <v>286</v>
      </c>
      <c r="D74" s="3" t="s">
        <v>15</v>
      </c>
      <c r="E74" s="3" t="s">
        <v>24</v>
      </c>
      <c r="F74" s="3" t="s">
        <v>324</v>
      </c>
      <c r="G74" s="3" t="s">
        <v>325</v>
      </c>
      <c r="H74" s="3" t="s">
        <v>322</v>
      </c>
      <c r="I74" s="3"/>
      <c r="J74" s="3" t="s">
        <v>20</v>
      </c>
      <c r="K74" s="3" t="s">
        <v>87</v>
      </c>
      <c r="L74" s="3" t="s">
        <v>88</v>
      </c>
    </row>
    <row r="75" customFormat="false" ht="23.25" hidden="false" customHeight="true" outlineLevel="0" collapsed="false">
      <c r="A75" s="3" t="s">
        <v>326</v>
      </c>
      <c r="B75" s="3" t="s">
        <v>327</v>
      </c>
      <c r="C75" s="3" t="s">
        <v>286</v>
      </c>
      <c r="D75" s="3" t="s">
        <v>15</v>
      </c>
      <c r="E75" s="3" t="s">
        <v>16</v>
      </c>
      <c r="F75" s="3" t="s">
        <v>328</v>
      </c>
      <c r="G75" s="3" t="s">
        <v>329</v>
      </c>
      <c r="H75" s="3" t="s">
        <v>330</v>
      </c>
      <c r="I75" s="3"/>
      <c r="J75" s="3" t="s">
        <v>20</v>
      </c>
      <c r="K75" s="3" t="s">
        <v>87</v>
      </c>
      <c r="L75" s="3" t="s">
        <v>88</v>
      </c>
    </row>
    <row r="76" customFormat="false" ht="15" hidden="false" customHeight="true" outlineLevel="0" collapsed="false">
      <c r="A76" s="3" t="s">
        <v>331</v>
      </c>
      <c r="B76" s="3" t="s">
        <v>327</v>
      </c>
      <c r="C76" s="3" t="s">
        <v>286</v>
      </c>
      <c r="D76" s="3" t="s">
        <v>15</v>
      </c>
      <c r="E76" s="3" t="s">
        <v>24</v>
      </c>
      <c r="F76" s="3" t="s">
        <v>332</v>
      </c>
      <c r="G76" s="3" t="s">
        <v>333</v>
      </c>
      <c r="H76" s="3" t="s">
        <v>334</v>
      </c>
      <c r="I76" s="3"/>
      <c r="J76" s="3" t="s">
        <v>20</v>
      </c>
      <c r="K76" s="3" t="s">
        <v>87</v>
      </c>
      <c r="L76" s="3" t="s">
        <v>88</v>
      </c>
    </row>
    <row r="77" customFormat="false" ht="15" hidden="false" customHeight="true" outlineLevel="0" collapsed="false">
      <c r="A77" s="3" t="s">
        <v>335</v>
      </c>
      <c r="B77" s="3" t="s">
        <v>327</v>
      </c>
      <c r="C77" s="3" t="s">
        <v>286</v>
      </c>
      <c r="D77" s="3" t="s">
        <v>15</v>
      </c>
      <c r="E77" s="3" t="s">
        <v>24</v>
      </c>
      <c r="F77" s="3" t="s">
        <v>336</v>
      </c>
      <c r="G77" s="3" t="s">
        <v>337</v>
      </c>
      <c r="H77" s="3" t="s">
        <v>254</v>
      </c>
      <c r="I77" s="3"/>
      <c r="J77" s="3" t="s">
        <v>20</v>
      </c>
      <c r="K77" s="3" t="s">
        <v>87</v>
      </c>
      <c r="L77" s="3" t="s">
        <v>88</v>
      </c>
    </row>
    <row r="78" customFormat="false" ht="15" hidden="false" customHeight="true" outlineLevel="0" collapsed="false">
      <c r="A78" s="3" t="s">
        <v>338</v>
      </c>
      <c r="B78" s="3" t="s">
        <v>327</v>
      </c>
      <c r="C78" s="3" t="s">
        <v>286</v>
      </c>
      <c r="D78" s="3" t="s">
        <v>35</v>
      </c>
      <c r="E78" s="3" t="s">
        <v>24</v>
      </c>
      <c r="F78" s="3" t="s">
        <v>339</v>
      </c>
      <c r="G78" s="3" t="s">
        <v>340</v>
      </c>
      <c r="H78" s="3" t="s">
        <v>341</v>
      </c>
      <c r="I78" s="3"/>
      <c r="J78" s="3" t="s">
        <v>20</v>
      </c>
      <c r="K78" s="3" t="s">
        <v>87</v>
      </c>
      <c r="L78" s="3" t="s">
        <v>88</v>
      </c>
    </row>
    <row r="79" customFormat="false" ht="23.25" hidden="false" customHeight="true" outlineLevel="0" collapsed="false">
      <c r="A79" s="3" t="s">
        <v>342</v>
      </c>
      <c r="B79" s="3" t="s">
        <v>343</v>
      </c>
      <c r="C79" s="3" t="s">
        <v>286</v>
      </c>
      <c r="D79" s="3" t="s">
        <v>15</v>
      </c>
      <c r="E79" s="3" t="s">
        <v>16</v>
      </c>
      <c r="F79" s="3" t="s">
        <v>344</v>
      </c>
      <c r="G79" s="3" t="s">
        <v>345</v>
      </c>
      <c r="H79" s="3" t="s">
        <v>346</v>
      </c>
      <c r="I79" s="3"/>
      <c r="J79" s="3" t="s">
        <v>20</v>
      </c>
      <c r="K79" s="3" t="s">
        <v>87</v>
      </c>
      <c r="L79" s="3" t="s">
        <v>88</v>
      </c>
    </row>
    <row r="80" customFormat="false" ht="15" hidden="false" customHeight="true" outlineLevel="0" collapsed="false">
      <c r="A80" s="3" t="s">
        <v>347</v>
      </c>
      <c r="B80" s="3" t="s">
        <v>343</v>
      </c>
      <c r="C80" s="3" t="s">
        <v>286</v>
      </c>
      <c r="D80" s="3" t="s">
        <v>15</v>
      </c>
      <c r="E80" s="3" t="s">
        <v>16</v>
      </c>
      <c r="F80" s="3" t="s">
        <v>348</v>
      </c>
      <c r="G80" s="3" t="s">
        <v>349</v>
      </c>
      <c r="H80" s="3" t="s">
        <v>350</v>
      </c>
      <c r="I80" s="3"/>
      <c r="J80" s="3" t="s">
        <v>20</v>
      </c>
      <c r="K80" s="3" t="s">
        <v>87</v>
      </c>
      <c r="L80" s="3" t="s">
        <v>88</v>
      </c>
    </row>
    <row r="81" customFormat="false" ht="15" hidden="false" customHeight="true" outlineLevel="0" collapsed="false">
      <c r="A81" s="3" t="s">
        <v>351</v>
      </c>
      <c r="B81" s="3" t="s">
        <v>343</v>
      </c>
      <c r="C81" s="3" t="s">
        <v>286</v>
      </c>
      <c r="D81" s="3" t="s">
        <v>15</v>
      </c>
      <c r="E81" s="3" t="s">
        <v>24</v>
      </c>
      <c r="F81" s="3" t="s">
        <v>352</v>
      </c>
      <c r="G81" s="3" t="s">
        <v>353</v>
      </c>
      <c r="H81" s="3" t="s">
        <v>354</v>
      </c>
      <c r="I81" s="3"/>
      <c r="J81" s="3" t="s">
        <v>20</v>
      </c>
      <c r="K81" s="3" t="s">
        <v>87</v>
      </c>
      <c r="L81" s="3" t="s">
        <v>88</v>
      </c>
    </row>
    <row r="82" customFormat="false" ht="15" hidden="false" customHeight="true" outlineLevel="0" collapsed="false">
      <c r="A82" s="3" t="s">
        <v>355</v>
      </c>
      <c r="B82" s="3" t="s">
        <v>343</v>
      </c>
      <c r="C82" s="3" t="s">
        <v>286</v>
      </c>
      <c r="D82" s="3" t="s">
        <v>15</v>
      </c>
      <c r="E82" s="3" t="s">
        <v>24</v>
      </c>
      <c r="F82" s="3" t="s">
        <v>356</v>
      </c>
      <c r="G82" s="3" t="s">
        <v>357</v>
      </c>
      <c r="H82" s="3" t="s">
        <v>358</v>
      </c>
      <c r="I82" s="3"/>
      <c r="J82" s="3" t="s">
        <v>20</v>
      </c>
      <c r="K82" s="3" t="s">
        <v>87</v>
      </c>
      <c r="L82" s="3" t="s">
        <v>88</v>
      </c>
    </row>
    <row r="83" customFormat="false" ht="34.5" hidden="false" customHeight="true" outlineLevel="0" collapsed="false">
      <c r="A83" s="3" t="s">
        <v>359</v>
      </c>
      <c r="B83" s="3" t="s">
        <v>360</v>
      </c>
      <c r="C83" s="3" t="s">
        <v>15</v>
      </c>
      <c r="D83" s="3" t="s">
        <v>15</v>
      </c>
      <c r="E83" s="3" t="s">
        <v>16</v>
      </c>
      <c r="F83" s="3" t="s">
        <v>361</v>
      </c>
      <c r="G83" s="3" t="s">
        <v>362</v>
      </c>
      <c r="H83" s="3" t="s">
        <v>363</v>
      </c>
      <c r="I83" s="3"/>
      <c r="J83" s="3" t="s">
        <v>20</v>
      </c>
      <c r="K83" s="3" t="s">
        <v>87</v>
      </c>
      <c r="L83" s="3" t="s">
        <v>88</v>
      </c>
    </row>
    <row r="84" customFormat="false" ht="23.25" hidden="false" customHeight="true" outlineLevel="0" collapsed="false">
      <c r="A84" s="3" t="s">
        <v>364</v>
      </c>
      <c r="B84" s="3" t="s">
        <v>365</v>
      </c>
      <c r="C84" s="3" t="s">
        <v>15</v>
      </c>
      <c r="D84" s="3" t="s">
        <v>15</v>
      </c>
      <c r="E84" s="3" t="s">
        <v>16</v>
      </c>
      <c r="F84" s="3" t="s">
        <v>366</v>
      </c>
      <c r="G84" s="3" t="s">
        <v>367</v>
      </c>
      <c r="H84" s="3" t="s">
        <v>368</v>
      </c>
      <c r="I84" s="3"/>
      <c r="J84" s="3" t="s">
        <v>20</v>
      </c>
      <c r="K84" s="3" t="s">
        <v>32</v>
      </c>
      <c r="L84" s="3" t="s">
        <v>33</v>
      </c>
    </row>
    <row r="85" customFormat="false" ht="15" hidden="false" customHeight="true" outlineLevel="0" collapsed="false">
      <c r="A85" s="3" t="s">
        <v>369</v>
      </c>
      <c r="B85" s="3" t="s">
        <v>370</v>
      </c>
      <c r="C85" s="3" t="s">
        <v>15</v>
      </c>
      <c r="D85" s="3" t="s">
        <v>15</v>
      </c>
      <c r="E85" s="3" t="s">
        <v>16</v>
      </c>
      <c r="F85" s="3" t="s">
        <v>371</v>
      </c>
      <c r="G85" s="3" t="s">
        <v>372</v>
      </c>
      <c r="H85" s="3" t="s">
        <v>373</v>
      </c>
      <c r="I85" s="3"/>
      <c r="J85" s="3" t="s">
        <v>20</v>
      </c>
      <c r="K85" s="3" t="s">
        <v>32</v>
      </c>
      <c r="L85" s="3" t="s">
        <v>33</v>
      </c>
    </row>
  </sheetData>
  <autoFilter ref="A1:L85"/>
  <conditionalFormatting sqref="J2:J85">
    <cfRule type="cellIs" priority="2" operator="equal" aboveAverage="0" equalAverage="0" bottom="0" percent="0" rank="0" text="" dxfId="3">
      <formula>"Pass"</formula>
    </cfRule>
    <cfRule type="cellIs" priority="3" operator="equal" aboveAverage="0" equalAverage="0" bottom="0" percent="0" rank="0" text="" dxfId="4">
      <formula>"Fail"</formula>
    </cfRule>
    <cfRule type="cellIs" priority="4" operator="equal" aboveAverage="0" equalAverage="0" bottom="0" percent="0" rank="0" text="" dxfId="5">
      <formula>"Blocked"</formula>
    </cfRule>
  </conditionalFormatting>
  <dataValidations count="1">
    <dataValidation allowBlank="false" errorStyle="stop" operator="between" showDropDown="false" showErrorMessage="false" showInputMessage="false" sqref="J2:J85" type="list">
      <formula1>"Not Run,Pass,Fail,Blocked"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1"/>
  </cols>
  <sheetData>
    <row r="1" customFormat="false" ht="15.75" hidden="false" customHeight="true" outlineLevel="0" collapsed="false">
      <c r="A1" s="4" t="s">
        <v>374</v>
      </c>
    </row>
    <row r="2" customFormat="false" ht="15" hidden="false" customHeight="true" outlineLevel="0" collapsed="false">
      <c r="A2" s="5" t="s">
        <v>375</v>
      </c>
    </row>
    <row r="4" customFormat="false" ht="15" hidden="false" customHeight="true" outlineLevel="0" collapsed="false">
      <c r="A4" s="6" t="s">
        <v>2</v>
      </c>
      <c r="B4" s="6" t="s">
        <v>376</v>
      </c>
      <c r="C4" s="6" t="s">
        <v>377</v>
      </c>
      <c r="D4" s="6" t="s">
        <v>378</v>
      </c>
      <c r="E4" s="6" t="s">
        <v>379</v>
      </c>
      <c r="F4" s="6" t="s">
        <v>20</v>
      </c>
      <c r="G4" s="6" t="s">
        <v>380</v>
      </c>
    </row>
    <row r="5" customFormat="false" ht="15" hidden="false" customHeight="true" outlineLevel="0" collapsed="false">
      <c r="A5" s="7" t="s">
        <v>14</v>
      </c>
      <c r="B5" s="7" t="n">
        <f aca="false">COUNTIF('Test Cases'!$C$2:$C$85,A5)</f>
        <v>41</v>
      </c>
      <c r="C5" s="7" t="n">
        <f aca="false">COUNTIFS('Test Cases'!$C$2:$C$85,$A5,'Test Cases'!$J$2:$J$85,"Pass")</f>
        <v>0</v>
      </c>
      <c r="D5" s="7" t="n">
        <f aca="false">COUNTIFS('Test Cases'!$C$2:$C$85,$A5,'Test Cases'!$J$2:$J$85,"Fail")</f>
        <v>0</v>
      </c>
      <c r="E5" s="7" t="n">
        <f aca="false">COUNTIFS('Test Cases'!$C$2:$C$85,$A5,'Test Cases'!$J$2:$J$85,"Blocked")</f>
        <v>0</v>
      </c>
      <c r="F5" s="7" t="n">
        <f aca="false">COUNTIFS('Test Cases'!$C$2:$C$85,$A5,'Test Cases'!$J$2:$J$85,"Not Run")</f>
        <v>41</v>
      </c>
      <c r="G5" s="8" t="n">
        <f aca="false">IF(B5=0,0,C5/B5)</f>
        <v>0</v>
      </c>
    </row>
    <row r="6" customFormat="false" ht="15" hidden="false" customHeight="true" outlineLevel="0" collapsed="false">
      <c r="A6" s="7" t="s">
        <v>197</v>
      </c>
      <c r="B6" s="7" t="n">
        <f aca="false">COUNTIF('Test Cases'!$C$2:$C$85,A6)</f>
        <v>21</v>
      </c>
      <c r="C6" s="7" t="n">
        <f aca="false">COUNTIFS('Test Cases'!$C$2:$C$85,$A6,'Test Cases'!$J$2:$J$85,"Pass")</f>
        <v>0</v>
      </c>
      <c r="D6" s="7" t="n">
        <f aca="false">COUNTIFS('Test Cases'!$C$2:$C$85,$A6,'Test Cases'!$J$2:$J$85,"Fail")</f>
        <v>0</v>
      </c>
      <c r="E6" s="7" t="n">
        <f aca="false">COUNTIFS('Test Cases'!$C$2:$C$85,$A6,'Test Cases'!$J$2:$J$85,"Blocked")</f>
        <v>0</v>
      </c>
      <c r="F6" s="7" t="n">
        <f aca="false">COUNTIFS('Test Cases'!$C$2:$C$85,$A6,'Test Cases'!$J$2:$J$85,"Not Run")</f>
        <v>21</v>
      </c>
      <c r="G6" s="8" t="n">
        <f aca="false">IF(B6=0,0,C6/B6)</f>
        <v>0</v>
      </c>
    </row>
    <row r="7" customFormat="false" ht="15" hidden="false" customHeight="true" outlineLevel="0" collapsed="false">
      <c r="A7" s="7" t="s">
        <v>286</v>
      </c>
      <c r="B7" s="7" t="n">
        <f aca="false">COUNTIF('Test Cases'!$C$2:$C$85,A7)</f>
        <v>19</v>
      </c>
      <c r="C7" s="7" t="n">
        <f aca="false">COUNTIFS('Test Cases'!$C$2:$C$85,$A7,'Test Cases'!$J$2:$J$85,"Pass")</f>
        <v>0</v>
      </c>
      <c r="D7" s="7" t="n">
        <f aca="false">COUNTIFS('Test Cases'!$C$2:$C$85,$A7,'Test Cases'!$J$2:$J$85,"Fail")</f>
        <v>0</v>
      </c>
      <c r="E7" s="7" t="n">
        <f aca="false">COUNTIFS('Test Cases'!$C$2:$C$85,$A7,'Test Cases'!$J$2:$J$85,"Blocked")</f>
        <v>0</v>
      </c>
      <c r="F7" s="7" t="n">
        <f aca="false">COUNTIFS('Test Cases'!$C$2:$C$85,$A7,'Test Cases'!$J$2:$J$85,"Not Run")</f>
        <v>19</v>
      </c>
      <c r="G7" s="8" t="n">
        <f aca="false">IF(B7=0,0,C7/B7)</f>
        <v>0</v>
      </c>
    </row>
    <row r="8" customFormat="false" ht="15" hidden="false" customHeight="true" outlineLevel="0" collapsed="false">
      <c r="A8" s="7" t="s">
        <v>15</v>
      </c>
      <c r="B8" s="7" t="n">
        <f aca="false">COUNTIF('Test Cases'!$C$2:$C$85,A8)</f>
        <v>3</v>
      </c>
      <c r="C8" s="7" t="n">
        <f aca="false">COUNTIFS('Test Cases'!$C$2:$C$85,$A8,'Test Cases'!$J$2:$J$85,"Pass")</f>
        <v>0</v>
      </c>
      <c r="D8" s="7" t="n">
        <f aca="false">COUNTIFS('Test Cases'!$C$2:$C$85,$A8,'Test Cases'!$J$2:$J$85,"Fail")</f>
        <v>0</v>
      </c>
      <c r="E8" s="7" t="n">
        <f aca="false">COUNTIFS('Test Cases'!$C$2:$C$85,$A8,'Test Cases'!$J$2:$J$85,"Blocked")</f>
        <v>0</v>
      </c>
      <c r="F8" s="7" t="n">
        <f aca="false">COUNTIFS('Test Cases'!$C$2:$C$85,$A8,'Test Cases'!$J$2:$J$85,"Not Run")</f>
        <v>3</v>
      </c>
      <c r="G8" s="8" t="n">
        <f aca="false">IF(B8=0,0,C8/B8)</f>
        <v>0</v>
      </c>
    </row>
    <row r="9" customFormat="false" ht="15" hidden="false" customHeight="true" outlineLevel="0" collapsed="false">
      <c r="A9" s="9" t="s">
        <v>381</v>
      </c>
      <c r="B9" s="9" t="n">
        <f aca="false">SUM(B5:B8)</f>
        <v>84</v>
      </c>
      <c r="C9" s="9" t="n">
        <f aca="false">SUM(C5:C8)</f>
        <v>0</v>
      </c>
      <c r="D9" s="9" t="n">
        <f aca="false">SUM(D5:D8)</f>
        <v>0</v>
      </c>
      <c r="E9" s="9" t="n">
        <f aca="false">SUM(E5:E8)</f>
        <v>0</v>
      </c>
      <c r="F9" s="9" t="n">
        <f aca="false">SUM(F5:F8)</f>
        <v>84</v>
      </c>
      <c r="G9" s="10" t="n">
        <f aca="false">IF(B9=0,0,C9/B9)</f>
        <v>0</v>
      </c>
    </row>
    <row r="11" customFormat="false" ht="15" hidden="false" customHeight="true" outlineLevel="0" collapsed="false">
      <c r="A11" s="11" t="s">
        <v>382</v>
      </c>
    </row>
    <row r="12" customFormat="false" ht="15" hidden="false" customHeight="true" outlineLevel="0" collapsed="false">
      <c r="A12" s="7" t="s">
        <v>16</v>
      </c>
      <c r="B12" s="7" t="n">
        <f aca="false">COUNTIF('Test Cases'!$E$2:$E$85,A12)</f>
        <v>25</v>
      </c>
    </row>
    <row r="13" customFormat="false" ht="15" hidden="false" customHeight="true" outlineLevel="0" collapsed="false">
      <c r="A13" s="7" t="s">
        <v>24</v>
      </c>
      <c r="B13" s="7" t="n">
        <f aca="false">COUNTIF('Test Cases'!$E$2:$E$85,A13)</f>
        <v>41</v>
      </c>
    </row>
    <row r="14" customFormat="false" ht="15" hidden="false" customHeight="true" outlineLevel="0" collapsed="false">
      <c r="A14" s="7" t="s">
        <v>50</v>
      </c>
      <c r="B14" s="7" t="n">
        <f aca="false">COUNTIF('Test Cases'!$E$2:$E$85,A14)</f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70"/>
    <col collapsed="false" customWidth="true" hidden="false" outlineLevel="0" max="3" min="3" style="1" width="50"/>
    <col collapsed="false" customWidth="true" hidden="false" outlineLevel="0" max="4" min="4" style="1" width="40"/>
  </cols>
  <sheetData>
    <row r="1" customFormat="false" ht="15" hidden="false" customHeight="true" outlineLevel="0" collapsed="false">
      <c r="A1" s="12" t="s">
        <v>383</v>
      </c>
      <c r="B1" s="12" t="s">
        <v>384</v>
      </c>
      <c r="C1" s="12" t="s">
        <v>385</v>
      </c>
      <c r="D1" s="12" t="s">
        <v>386</v>
      </c>
    </row>
    <row r="2" customFormat="false" ht="15" hidden="false" customHeight="true" outlineLevel="0" collapsed="false">
      <c r="A2" s="3" t="n">
        <v>1</v>
      </c>
      <c r="B2" s="3" t="s">
        <v>387</v>
      </c>
      <c r="C2" s="3" t="s">
        <v>388</v>
      </c>
      <c r="D2" s="3" t="s">
        <v>389</v>
      </c>
    </row>
    <row r="3" customFormat="false" ht="15" hidden="false" customHeight="true" outlineLevel="0" collapsed="false">
      <c r="A3" s="3" t="n">
        <v>2</v>
      </c>
      <c r="B3" s="3" t="s">
        <v>390</v>
      </c>
      <c r="C3" s="3" t="s">
        <v>391</v>
      </c>
      <c r="D3" s="3" t="s">
        <v>392</v>
      </c>
    </row>
    <row r="4" customFormat="false" ht="15" hidden="false" customHeight="true" outlineLevel="0" collapsed="false">
      <c r="A4" s="3" t="n">
        <v>3</v>
      </c>
      <c r="B4" s="3" t="s">
        <v>393</v>
      </c>
      <c r="C4" s="3" t="s">
        <v>394</v>
      </c>
      <c r="D4" s="3" t="s">
        <v>395</v>
      </c>
    </row>
    <row r="5" customFormat="false" ht="15" hidden="false" customHeight="true" outlineLevel="0" collapsed="false">
      <c r="A5" s="3" t="n">
        <v>4</v>
      </c>
      <c r="B5" s="3" t="s">
        <v>396</v>
      </c>
      <c r="C5" s="3" t="s">
        <v>397</v>
      </c>
      <c r="D5" s="3" t="s">
        <v>392</v>
      </c>
    </row>
    <row r="6" customFormat="false" ht="23.25" hidden="false" customHeight="true" outlineLevel="0" collapsed="false">
      <c r="A6" s="3" t="n">
        <v>5</v>
      </c>
      <c r="B6" s="3" t="s">
        <v>398</v>
      </c>
      <c r="C6" s="3" t="s">
        <v>399</v>
      </c>
      <c r="D6" s="3" t="s">
        <v>400</v>
      </c>
    </row>
    <row r="7" customFormat="false" ht="15" hidden="false" customHeight="true" outlineLevel="0" collapsed="false">
      <c r="A7" s="3" t="n">
        <v>6</v>
      </c>
      <c r="B7" s="3" t="s">
        <v>401</v>
      </c>
      <c r="C7" s="3" t="s">
        <v>402</v>
      </c>
      <c r="D7" s="3" t="s">
        <v>403</v>
      </c>
    </row>
    <row r="8" customFormat="false" ht="23.25" hidden="false" customHeight="true" outlineLevel="0" collapsed="false">
      <c r="A8" s="3" t="n">
        <v>7</v>
      </c>
      <c r="B8" s="3" t="s">
        <v>404</v>
      </c>
      <c r="C8" s="3" t="s">
        <v>405</v>
      </c>
      <c r="D8" s="3" t="s">
        <v>406</v>
      </c>
    </row>
    <row r="9" customFormat="false" ht="15" hidden="false" customHeight="true" outlineLevel="0" collapsed="false">
      <c r="A9" s="3" t="n">
        <v>8</v>
      </c>
      <c r="B9" s="3" t="s">
        <v>407</v>
      </c>
      <c r="C9" s="3" t="s">
        <v>408</v>
      </c>
      <c r="D9" s="3" t="s">
        <v>409</v>
      </c>
    </row>
    <row r="10" customFormat="false" ht="15" hidden="false" customHeight="true" outlineLevel="0" collapsed="false">
      <c r="A10" s="3" t="n">
        <v>9</v>
      </c>
      <c r="B10" s="3" t="s">
        <v>410</v>
      </c>
      <c r="C10" s="3" t="s">
        <v>411</v>
      </c>
      <c r="D10" s="3" t="s">
        <v>409</v>
      </c>
    </row>
    <row r="11" customFormat="false" ht="15" hidden="false" customHeight="true" outlineLevel="0" collapsed="false">
      <c r="A11" s="3" t="n">
        <v>10</v>
      </c>
      <c r="B11" s="3" t="s">
        <v>412</v>
      </c>
      <c r="C11" s="3" t="s">
        <v>413</v>
      </c>
      <c r="D11" s="3" t="s">
        <v>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2026-10-04T07:41:30Z</dcterms:created>
  <dc:creator>openpyxl</dc:creator>
  <dc:description/>
  <dc:language>en-US</dc:language>
  <cp:lastModifiedBy/>
  <dcterms:modified xsi:type="dcterms:W3CDTF">2026-10-21T07:01:38Z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